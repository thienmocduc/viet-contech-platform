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Phan tho - Ket cau" sheetId="2" state="visible" r:id="rId2"/>
    <sheet name="Hoan thien" sheetId="3" state="visible" r:id="rId3"/>
    <sheet name="Noi th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\%"/>
    <numFmt numFmtId="165" formatCode="#,##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D2D2D"/>
      <sz val="16"/>
    </font>
    <font>
      <name val="Arial"/>
      <i val="1"/>
      <color rgb="006B5D52"/>
      <sz val="11"/>
    </font>
    <font>
      <name val="Arial"/>
      <color rgb="002D2D2D"/>
      <sz val="11"/>
    </font>
    <font>
      <name val="Arial"/>
      <b val="1"/>
      <color rgb="00FFFFFF"/>
      <sz val="12"/>
    </font>
    <font>
      <name val="Arial"/>
      <b val="1"/>
      <color rgb="002D2D2D"/>
      <sz val="11"/>
    </font>
    <font>
      <name val="Arial"/>
      <b val="1"/>
      <color rgb="009B2D5C"/>
      <sz val="12"/>
    </font>
  </fonts>
  <fills count="6">
    <fill>
      <patternFill/>
    </fill>
    <fill>
      <patternFill patternType="gray125"/>
    </fill>
    <fill>
      <patternFill patternType="solid">
        <fgColor rgb="00B76E79"/>
      </patternFill>
    </fill>
    <fill>
      <patternFill patternType="solid">
        <fgColor rgb="00F4D5CB"/>
      </patternFill>
    </fill>
    <fill>
      <patternFill patternType="solid">
        <fgColor rgb="00FFF4E6"/>
      </patternFill>
    </fill>
    <fill>
      <patternFill patternType="solid">
        <fgColor rgb="00FAF7F5"/>
      </patternFill>
    </fill>
  </fills>
  <borders count="3">
    <border>
      <left/>
      <right/>
      <top/>
      <bottom/>
      <diagonal/>
    </border>
    <border>
      <left style="thin">
        <color rgb="00C8B8AE"/>
      </left>
      <right style="thin">
        <color rgb="00C8B8AE"/>
      </right>
      <top style="medium">
        <color rgb="00B76E79"/>
      </top>
      <bottom style="medium">
        <color rgb="00B76E79"/>
      </bottom>
    </border>
    <border>
      <left style="thin">
        <color rgb="00C8B8AE"/>
      </left>
      <right style="thin">
        <color rgb="00C8B8AE"/>
      </right>
      <top style="thin">
        <color rgb="00C8B8AE"/>
      </top>
      <bottom style="thin">
        <color rgb="00C8B8A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 wrapText="1"/>
    </xf>
    <xf numFmtId="3" fontId="3" fillId="0" borderId="2" applyAlignment="1" pivotButton="0" quotePrefix="0" xfId="0">
      <alignment horizontal="right" vertical="center" wrapText="1"/>
    </xf>
    <xf numFmtId="164" fontId="3" fillId="0" borderId="2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6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165" fontId="3" fillId="5" borderId="2" applyAlignment="1" pivotButton="0" quotePrefix="0" xfId="0">
      <alignment horizontal="right" vertical="center" wrapText="1"/>
    </xf>
    <xf numFmtId="166" fontId="3" fillId="5" borderId="2" applyAlignment="1" pivotButton="0" quotePrefix="0" xfId="0">
      <alignment horizontal="right" vertical="center" wrapText="1"/>
    </xf>
    <xf numFmtId="3" fontId="3" fillId="5" borderId="2" applyAlignment="1" pivotButton="0" quotePrefix="0" xfId="0">
      <alignment horizontal="right" vertical="center" wrapText="1"/>
    </xf>
    <xf numFmtId="165" fontId="3" fillId="0" borderId="2" applyAlignment="1" pivotButton="0" quotePrefix="0" xfId="0">
      <alignment horizontal="right" vertical="center" wrapText="1"/>
    </xf>
    <xf numFmtId="166" fontId="3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BANG TONG HOP DU TOAN</t>
        </is>
      </c>
    </row>
    <row r="2">
      <c r="A2" s="2" t="inlineStr">
        <is>
          <t>Du an: Nha pho 3 tang 80m²  |  Ma: VCT-TEST-HOUSE-001</t>
        </is>
      </c>
    </row>
    <row r="3">
      <c r="A3" s="3" t="inlineStr">
        <is>
          <t>Dien tich san: 240.00 m²   So tang: 3   Phong cach: modern   Lap: 03/05/2026</t>
        </is>
      </c>
    </row>
    <row r="5">
      <c r="A5" s="4" t="inlineStr">
        <is>
          <t>STT</t>
        </is>
      </c>
      <c r="B5" s="4" t="inlineStr">
        <is>
          <t>Hang muc</t>
        </is>
      </c>
      <c r="C5" s="4" t="inlineStr">
        <is>
          <t>DVT</t>
        </is>
      </c>
      <c r="D5" s="4" t="inlineStr">
        <is>
          <t>Khoi luong items</t>
        </is>
      </c>
      <c r="E5" s="4" t="inlineStr">
        <is>
          <t>Thanh tien (VND)</t>
        </is>
      </c>
      <c r="F5" s="4" t="inlineStr">
        <is>
          <t>Ti le %</t>
        </is>
      </c>
    </row>
    <row r="6">
      <c r="A6" s="5" t="n">
        <v>1</v>
      </c>
      <c r="B6" s="6" t="inlineStr">
        <is>
          <t>Phan tho - Ket cau</t>
        </is>
      </c>
      <c r="C6" s="5" t="inlineStr">
        <is>
          <t>VND</t>
        </is>
      </c>
      <c r="D6" s="7" t="n">
        <v>26</v>
      </c>
      <c r="E6" s="8" t="n">
        <v>441373616</v>
      </c>
      <c r="F6" s="9" t="n">
        <v>21.14143459275315</v>
      </c>
    </row>
    <row r="7">
      <c r="A7" s="5" t="n">
        <v>2</v>
      </c>
      <c r="B7" s="6" t="inlineStr">
        <is>
          <t>Hoan thien</t>
        </is>
      </c>
      <c r="C7" s="5" t="inlineStr">
        <is>
          <t>VND</t>
        </is>
      </c>
      <c r="D7" s="7" t="n">
        <v>63</v>
      </c>
      <c r="E7" s="8" t="n">
        <v>1015910765</v>
      </c>
      <c r="F7" s="9" t="n">
        <v>48.66129331645713</v>
      </c>
    </row>
    <row r="8">
      <c r="A8" s="5" t="n">
        <v>3</v>
      </c>
      <c r="B8" s="6" t="inlineStr">
        <is>
          <t>Noi that</t>
        </is>
      </c>
      <c r="C8" s="5" t="inlineStr">
        <is>
          <t>VND</t>
        </is>
      </c>
      <c r="D8" s="7" t="n">
        <v>23</v>
      </c>
      <c r="E8" s="8" t="n">
        <v>630434000</v>
      </c>
      <c r="F8" s="9" t="n">
        <v>30.19727209078972</v>
      </c>
    </row>
    <row r="9">
      <c r="A9" s="10" t="inlineStr">
        <is>
          <t>CONG TRUC TIEP (A)</t>
        </is>
      </c>
      <c r="B9" s="11" t="n"/>
      <c r="C9" s="11" t="n"/>
      <c r="D9" s="11" t="n"/>
      <c r="E9" s="12" t="n">
        <v>2087718381</v>
      </c>
      <c r="F9" s="13" t="n">
        <v>100</v>
      </c>
    </row>
    <row r="11">
      <c r="A11" s="7" t="inlineStr">
        <is>
          <t>Quan ly phi 5% (B)</t>
        </is>
      </c>
      <c r="B11" s="14" t="n"/>
      <c r="C11" s="14" t="n"/>
      <c r="D11" s="14" t="n"/>
      <c r="E11" s="8" t="n">
        <v>104385919</v>
      </c>
      <c r="F11" s="9" t="n">
        <v>4.999999997605041</v>
      </c>
    </row>
    <row r="12">
      <c r="A12" s="7" t="inlineStr">
        <is>
          <t>Du phong 10% (C)</t>
        </is>
      </c>
      <c r="B12" s="14" t="n"/>
      <c r="C12" s="14" t="n"/>
      <c r="D12" s="14" t="n"/>
      <c r="E12" s="8" t="n">
        <v>208771838</v>
      </c>
      <c r="F12" s="9" t="n">
        <v>9.999999995210082</v>
      </c>
    </row>
    <row r="13">
      <c r="A13" s="7" t="inlineStr">
        <is>
          <t>Thue VAT 8% (D)</t>
        </is>
      </c>
      <c r="B13" s="14" t="n"/>
      <c r="C13" s="14" t="n"/>
      <c r="D13" s="14" t="n"/>
      <c r="E13" s="8" t="n">
        <v>167017470</v>
      </c>
      <c r="F13" s="9" t="n">
        <v>7.999999977008393</v>
      </c>
    </row>
    <row r="15">
      <c r="A15" s="15" t="inlineStr">
        <is>
          <t>TONG CONG (A+B+C+D)</t>
        </is>
      </c>
      <c r="E15" s="16" t="n">
        <v>2567893608</v>
      </c>
      <c r="F15" s="17" t="inlineStr"/>
    </row>
    <row r="17">
      <c r="A17" s="18" t="inlineStr">
        <is>
          <t>Ghi chu: Bao gia da bao gom hao hut chuan TT06/2021/TT-BXD. Don gia thi truong Q1-2026 HN/SG. Thoi han bao gia 30 ngay. Khong bao gom: thi cong nha tho, mong dac biet, dia chat phuc tap.</t>
        </is>
      </c>
    </row>
  </sheetData>
  <mergeCells count="9">
    <mergeCell ref="A2:F2"/>
    <mergeCell ref="A9:D9"/>
    <mergeCell ref="A12:D12"/>
    <mergeCell ref="A1:F1"/>
    <mergeCell ref="A15:D15"/>
    <mergeCell ref="A17:F17"/>
    <mergeCell ref="A11:D11"/>
    <mergeCell ref="A3:F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Nha pho 3 tang 80m²  |  Ma: VCT-TEST-HOUSE-001</t>
        </is>
      </c>
    </row>
    <row r="3">
      <c r="A3" s="3" t="inlineStr">
        <is>
          <t>Dien tich san: 240.00 m²  |  So tang: 3  |  Phong cach: modern  |  Lap: 03/05/2026</t>
        </is>
      </c>
    </row>
    <row r="5">
      <c r="A5" s="19" t="inlineStr">
        <is>
          <t>Phan tho - Ket cau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GACH-AAC-220</t>
        </is>
      </c>
      <c r="C8" s="21" t="inlineStr">
        <is>
          <t>Gach be tong khi chung ap AAC day 220mm - Tang 1</t>
        </is>
      </c>
      <c r="D8" s="20" t="inlineStr">
        <is>
          <t>m3</t>
        </is>
      </c>
      <c r="E8" s="22" t="n">
        <v>21.384</v>
      </c>
      <c r="F8" s="23" t="n">
        <v>5</v>
      </c>
      <c r="G8" s="22">
        <f>E8*(1+F8/100)</f>
        <v/>
      </c>
      <c r="H8" s="24" t="n">
        <v>1350000</v>
      </c>
      <c r="I8" s="24">
        <f>G8*H8</f>
        <v/>
      </c>
    </row>
    <row r="9">
      <c r="A9" s="5" t="n">
        <v>2</v>
      </c>
      <c r="B9" s="6" t="inlineStr">
        <is>
          <t>GACH-AAC-220</t>
        </is>
      </c>
      <c r="C9" s="6" t="inlineStr">
        <is>
          <t>Gach be tong khi chung ap AAC day 220mm - Tang 2</t>
        </is>
      </c>
      <c r="D9" s="5" t="inlineStr">
        <is>
          <t>m3</t>
        </is>
      </c>
      <c r="E9" s="25" t="n">
        <v>21.384</v>
      </c>
      <c r="F9" s="26" t="n">
        <v>5</v>
      </c>
      <c r="G9" s="25">
        <f>E9*(1+F9/100)</f>
        <v/>
      </c>
      <c r="H9" s="8" t="n">
        <v>1350000</v>
      </c>
      <c r="I9" s="8">
        <f>G9*H9</f>
        <v/>
      </c>
    </row>
    <row r="10">
      <c r="A10" s="20" t="n">
        <v>3</v>
      </c>
      <c r="B10" s="21" t="inlineStr">
        <is>
          <t>GACH-AAC-220</t>
        </is>
      </c>
      <c r="C10" s="21" t="inlineStr">
        <is>
          <t>Gach be tong khi chung ap AAC day 220mm - Tang 3</t>
        </is>
      </c>
      <c r="D10" s="20" t="inlineStr">
        <is>
          <t>m3</t>
        </is>
      </c>
      <c r="E10" s="22" t="n">
        <v>21.384</v>
      </c>
      <c r="F10" s="23" t="n">
        <v>5</v>
      </c>
      <c r="G10" s="22">
        <f>E10*(1+F10/100)</f>
        <v/>
      </c>
      <c r="H10" s="24" t="n">
        <v>1350000</v>
      </c>
      <c r="I10" s="24">
        <f>G10*H10</f>
        <v/>
      </c>
    </row>
    <row r="11">
      <c r="A11" s="5" t="n">
        <v>4</v>
      </c>
      <c r="B11" s="6" t="inlineStr">
        <is>
          <t>GACH-AAC-100</t>
        </is>
      </c>
      <c r="C11" s="6" t="inlineStr">
        <is>
          <t>Gach AAC day 100mm (vach ngan) - Tang 1</t>
        </is>
      </c>
      <c r="D11" s="5" t="inlineStr">
        <is>
          <t>m3</t>
        </is>
      </c>
      <c r="E11" s="25" t="n">
        <v>4.59</v>
      </c>
      <c r="F11" s="26" t="n">
        <v>5</v>
      </c>
      <c r="G11" s="25">
        <f>E11*(1+F11/100)</f>
        <v/>
      </c>
      <c r="H11" s="8" t="n">
        <v>1350000</v>
      </c>
      <c r="I11" s="8">
        <f>G11*H11</f>
        <v/>
      </c>
    </row>
    <row r="12">
      <c r="A12" s="20" t="n">
        <v>5</v>
      </c>
      <c r="B12" s="21" t="inlineStr">
        <is>
          <t>GACH-AAC-100</t>
        </is>
      </c>
      <c r="C12" s="21" t="inlineStr">
        <is>
          <t>Gach AAC day 100mm (vach ngan) - Tang 2</t>
        </is>
      </c>
      <c r="D12" s="20" t="inlineStr">
        <is>
          <t>m3</t>
        </is>
      </c>
      <c r="E12" s="22" t="n">
        <v>4.59</v>
      </c>
      <c r="F12" s="23" t="n">
        <v>5</v>
      </c>
      <c r="G12" s="22">
        <f>E12*(1+F12/100)</f>
        <v/>
      </c>
      <c r="H12" s="24" t="n">
        <v>1350000</v>
      </c>
      <c r="I12" s="24">
        <f>G12*H12</f>
        <v/>
      </c>
    </row>
    <row r="13">
      <c r="A13" s="5" t="n">
        <v>6</v>
      </c>
      <c r="B13" s="6" t="inlineStr">
        <is>
          <t>GACH-AAC-100</t>
        </is>
      </c>
      <c r="C13" s="6" t="inlineStr">
        <is>
          <t>Gach AAC day 100mm (vach ngan) - Tang 3</t>
        </is>
      </c>
      <c r="D13" s="5" t="inlineStr">
        <is>
          <t>m3</t>
        </is>
      </c>
      <c r="E13" s="25" t="n">
        <v>4.59</v>
      </c>
      <c r="F13" s="26" t="n">
        <v>5</v>
      </c>
      <c r="G13" s="25">
        <f>E13*(1+F13/100)</f>
        <v/>
      </c>
      <c r="H13" s="8" t="n">
        <v>1350000</v>
      </c>
      <c r="I13" s="8">
        <f>G13*H13</f>
        <v/>
      </c>
    </row>
    <row r="14">
      <c r="A14" s="20" t="n">
        <v>7</v>
      </c>
      <c r="B14" s="21" t="inlineStr">
        <is>
          <t>BTCT-B30</t>
        </is>
      </c>
      <c r="C14" s="21" t="inlineStr">
        <is>
          <t>Be tong cot thep B30 (M400) cho cot/dam chinh - Tang 1</t>
        </is>
      </c>
      <c r="D14" s="20" t="inlineStr">
        <is>
          <t>m3</t>
        </is>
      </c>
      <c r="E14" s="22" t="n">
        <v>1.26</v>
      </c>
      <c r="F14" s="23" t="n">
        <v>3</v>
      </c>
      <c r="G14" s="22">
        <f>E14*(1+F14/100)</f>
        <v/>
      </c>
      <c r="H14" s="24" t="n">
        <v>1820000</v>
      </c>
      <c r="I14" s="24">
        <f>G14*H14</f>
        <v/>
      </c>
    </row>
    <row r="15">
      <c r="A15" s="5" t="n">
        <v>8</v>
      </c>
      <c r="B15" s="6" t="inlineStr">
        <is>
          <t>BTCT-B30</t>
        </is>
      </c>
      <c r="C15" s="6" t="inlineStr">
        <is>
          <t>Be tong cot thep B30 (M400) cho cot/dam chinh - Tang 2</t>
        </is>
      </c>
      <c r="D15" s="5" t="inlineStr">
        <is>
          <t>m3</t>
        </is>
      </c>
      <c r="E15" s="25" t="n">
        <v>1.26</v>
      </c>
      <c r="F15" s="26" t="n">
        <v>3</v>
      </c>
      <c r="G15" s="25">
        <f>E15*(1+F15/100)</f>
        <v/>
      </c>
      <c r="H15" s="8" t="n">
        <v>1820000</v>
      </c>
      <c r="I15" s="8">
        <f>G15*H15</f>
        <v/>
      </c>
    </row>
    <row r="16">
      <c r="A16" s="20" t="n">
        <v>9</v>
      </c>
      <c r="B16" s="21" t="inlineStr">
        <is>
          <t>BTCT-B30</t>
        </is>
      </c>
      <c r="C16" s="21" t="inlineStr">
        <is>
          <t>Be tong cot thep B30 (M400) cho cot/dam chinh - Tang 3</t>
        </is>
      </c>
      <c r="D16" s="20" t="inlineStr">
        <is>
          <t>m3</t>
        </is>
      </c>
      <c r="E16" s="22" t="n">
        <v>1.26</v>
      </c>
      <c r="F16" s="23" t="n">
        <v>3</v>
      </c>
      <c r="G16" s="22">
        <f>E16*(1+F16/100)</f>
        <v/>
      </c>
      <c r="H16" s="24" t="n">
        <v>1820000</v>
      </c>
      <c r="I16" s="24">
        <f>G16*H16</f>
        <v/>
      </c>
    </row>
    <row r="17">
      <c r="A17" s="5" t="n">
        <v>10</v>
      </c>
      <c r="B17" s="6" t="inlineStr">
        <is>
          <t>BTCT-B25</t>
        </is>
      </c>
      <c r="C17" s="6" t="inlineStr">
        <is>
          <t>Be tong cot thep B25 (M350) tron san - Tang 1</t>
        </is>
      </c>
      <c r="D17" s="5" t="inlineStr">
        <is>
          <t>m3</t>
        </is>
      </c>
      <c r="E17" s="25" t="n">
        <v>3.872</v>
      </c>
      <c r="F17" s="26" t="n">
        <v>3</v>
      </c>
      <c r="G17" s="25">
        <f>E17*(1+F17/100)</f>
        <v/>
      </c>
      <c r="H17" s="8" t="n">
        <v>1650000</v>
      </c>
      <c r="I17" s="8">
        <f>G17*H17</f>
        <v/>
      </c>
    </row>
    <row r="18">
      <c r="A18" s="20" t="n">
        <v>11</v>
      </c>
      <c r="B18" s="21" t="inlineStr">
        <is>
          <t>BTCT-B25</t>
        </is>
      </c>
      <c r="C18" s="21" t="inlineStr">
        <is>
          <t>Be tong cot thep B25 (M350) tron san - Tang 2</t>
        </is>
      </c>
      <c r="D18" s="20" t="inlineStr">
        <is>
          <t>m3</t>
        </is>
      </c>
      <c r="E18" s="22" t="n">
        <v>3.872</v>
      </c>
      <c r="F18" s="23" t="n">
        <v>3</v>
      </c>
      <c r="G18" s="22">
        <f>E18*(1+F18/100)</f>
        <v/>
      </c>
      <c r="H18" s="24" t="n">
        <v>1650000</v>
      </c>
      <c r="I18" s="24">
        <f>G18*H18</f>
        <v/>
      </c>
    </row>
    <row r="19">
      <c r="A19" s="5" t="n">
        <v>12</v>
      </c>
      <c r="B19" s="6" t="inlineStr">
        <is>
          <t>BTCT-B25</t>
        </is>
      </c>
      <c r="C19" s="6" t="inlineStr">
        <is>
          <t>Be tong cot thep B25 (M350) tron san - Tang 3</t>
        </is>
      </c>
      <c r="D19" s="5" t="inlineStr">
        <is>
          <t>m3</t>
        </is>
      </c>
      <c r="E19" s="25" t="n">
        <v>3.872</v>
      </c>
      <c r="F19" s="26" t="n">
        <v>3</v>
      </c>
      <c r="G19" s="25">
        <f>E19*(1+F19/100)</f>
        <v/>
      </c>
      <c r="H19" s="8" t="n">
        <v>1650000</v>
      </c>
      <c r="I19" s="8">
        <f>G19*H19</f>
        <v/>
      </c>
    </row>
    <row r="20">
      <c r="A20" s="20" t="n">
        <v>13</v>
      </c>
      <c r="B20" s="21" t="inlineStr">
        <is>
          <t>BTCT-B25</t>
        </is>
      </c>
      <c r="C20" s="21" t="inlineStr">
        <is>
          <t>Be tong cot thep B25 (M350) tron san - Tang 1</t>
        </is>
      </c>
      <c r="D20" s="20" t="inlineStr">
        <is>
          <t>m3</t>
        </is>
      </c>
      <c r="E20" s="22" t="n">
        <v>12</v>
      </c>
      <c r="F20" s="23" t="n">
        <v>3</v>
      </c>
      <c r="G20" s="22">
        <f>E20*(1+F20/100)</f>
        <v/>
      </c>
      <c r="H20" s="24" t="n">
        <v>1650000</v>
      </c>
      <c r="I20" s="24">
        <f>G20*H20</f>
        <v/>
      </c>
    </row>
    <row r="21">
      <c r="A21" s="5" t="n">
        <v>14</v>
      </c>
      <c r="B21" s="6" t="inlineStr">
        <is>
          <t>BTCT-B25</t>
        </is>
      </c>
      <c r="C21" s="6" t="inlineStr">
        <is>
          <t>Be tong cot thep B25 (M350) tron san - Tang 2</t>
        </is>
      </c>
      <c r="D21" s="5" t="inlineStr">
        <is>
          <t>m3</t>
        </is>
      </c>
      <c r="E21" s="25" t="n">
        <v>12</v>
      </c>
      <c r="F21" s="26" t="n">
        <v>3</v>
      </c>
      <c r="G21" s="25">
        <f>E21*(1+F21/100)</f>
        <v/>
      </c>
      <c r="H21" s="8" t="n">
        <v>1650000</v>
      </c>
      <c r="I21" s="8">
        <f>G21*H21</f>
        <v/>
      </c>
    </row>
    <row r="22">
      <c r="A22" s="20" t="n">
        <v>15</v>
      </c>
      <c r="B22" s="21" t="inlineStr">
        <is>
          <t>BTCT-B25</t>
        </is>
      </c>
      <c r="C22" s="21" t="inlineStr">
        <is>
          <t>Be tong cot thep B25 (M350) tron san - Tang 3</t>
        </is>
      </c>
      <c r="D22" s="20" t="inlineStr">
        <is>
          <t>m3</t>
        </is>
      </c>
      <c r="E22" s="22" t="n">
        <v>12</v>
      </c>
      <c r="F22" s="23" t="n">
        <v>3</v>
      </c>
      <c r="G22" s="22">
        <f>E22*(1+F22/100)</f>
        <v/>
      </c>
      <c r="H22" s="24" t="n">
        <v>1650000</v>
      </c>
      <c r="I22" s="24">
        <f>G22*H22</f>
        <v/>
      </c>
    </row>
    <row r="23">
      <c r="A23" s="5" t="n">
        <v>16</v>
      </c>
      <c r="B23" s="6" t="inlineStr">
        <is>
          <t>MONG-COC-EP</t>
        </is>
      </c>
      <c r="C23" s="6" t="inlineStr">
        <is>
          <t>Coc be tong ep 250x250 (12-15m) - Tang 1</t>
        </is>
      </c>
      <c r="D23" s="5" t="inlineStr">
        <is>
          <t>m</t>
        </is>
      </c>
      <c r="E23" s="25" t="n">
        <v>24</v>
      </c>
      <c r="F23" s="26" t="n">
        <v>2</v>
      </c>
      <c r="G23" s="25">
        <f>E23*(1+F23/100)</f>
        <v/>
      </c>
      <c r="H23" s="8" t="n">
        <v>280000</v>
      </c>
      <c r="I23" s="8">
        <f>G23*H23</f>
        <v/>
      </c>
    </row>
    <row r="24">
      <c r="A24" s="20" t="n">
        <v>17</v>
      </c>
      <c r="B24" s="21" t="inlineStr">
        <is>
          <t>MONG-COC-EP</t>
        </is>
      </c>
      <c r="C24" s="21" t="inlineStr">
        <is>
          <t>Coc be tong ep 250x250 (12-15m) - Tang 2</t>
        </is>
      </c>
      <c r="D24" s="20" t="inlineStr">
        <is>
          <t>m</t>
        </is>
      </c>
      <c r="E24" s="22" t="n">
        <v>24</v>
      </c>
      <c r="F24" s="23" t="n">
        <v>2</v>
      </c>
      <c r="G24" s="22">
        <f>E24*(1+F24/100)</f>
        <v/>
      </c>
      <c r="H24" s="24" t="n">
        <v>280000</v>
      </c>
      <c r="I24" s="24">
        <f>G24*H24</f>
        <v/>
      </c>
    </row>
    <row r="25">
      <c r="A25" s="5" t="n">
        <v>18</v>
      </c>
      <c r="B25" s="6" t="inlineStr">
        <is>
          <t>MONG-COC-EP</t>
        </is>
      </c>
      <c r="C25" s="6" t="inlineStr">
        <is>
          <t>Coc be tong ep 250x250 (12-15m) - Tang 3</t>
        </is>
      </c>
      <c r="D25" s="5" t="inlineStr">
        <is>
          <t>m</t>
        </is>
      </c>
      <c r="E25" s="25" t="n">
        <v>24</v>
      </c>
      <c r="F25" s="26" t="n">
        <v>2</v>
      </c>
      <c r="G25" s="25">
        <f>E25*(1+F25/100)</f>
        <v/>
      </c>
      <c r="H25" s="8" t="n">
        <v>280000</v>
      </c>
      <c r="I25" s="8">
        <f>G25*H25</f>
        <v/>
      </c>
    </row>
    <row r="26">
      <c r="A26" s="20" t="n">
        <v>19</v>
      </c>
      <c r="B26" s="21" t="inlineStr">
        <is>
          <t>THEP-CB400</t>
        </is>
      </c>
      <c r="C26" s="21" t="inlineStr">
        <is>
          <t>Sat thep CB400-V D10-D32 (Hoa Phat) (sinh tu BTCT/tuong/son)</t>
        </is>
      </c>
      <c r="D26" s="20" t="inlineStr">
        <is>
          <t>kg</t>
        </is>
      </c>
      <c r="E26" s="22" t="n">
        <v>8260.559999999999</v>
      </c>
      <c r="F26" s="23" t="n">
        <v>3</v>
      </c>
      <c r="G26" s="22">
        <f>E26*(1+F26/100)</f>
        <v/>
      </c>
      <c r="H26" s="24" t="n">
        <v>17000</v>
      </c>
      <c r="I26" s="24">
        <f>G26*H26</f>
        <v/>
      </c>
    </row>
    <row r="27">
      <c r="A27" s="5" t="n">
        <v>20</v>
      </c>
      <c r="B27" s="6" t="inlineStr">
        <is>
          <t>THEP-CB300</t>
        </is>
      </c>
      <c r="C27" s="6" t="inlineStr">
        <is>
          <t>Sat thep CB300-T D6-D8 (Vietnam Steel) (sinh tu BTCT/tuong/son)</t>
        </is>
      </c>
      <c r="D27" s="5" t="inlineStr">
        <is>
          <t>kg</t>
        </is>
      </c>
      <c r="E27" s="25" t="n">
        <v>1720.95</v>
      </c>
      <c r="F27" s="26" t="n">
        <v>3</v>
      </c>
      <c r="G27" s="25">
        <f>E27*(1+F27/100)</f>
        <v/>
      </c>
      <c r="H27" s="8" t="n">
        <v>15500</v>
      </c>
      <c r="I27" s="8">
        <f>G27*H27</f>
        <v/>
      </c>
    </row>
    <row r="28">
      <c r="A28" s="20" t="n">
        <v>21</v>
      </c>
      <c r="B28" s="21" t="inlineStr">
        <is>
          <t>VUA-XM-M75</t>
        </is>
      </c>
      <c r="C28" s="21" t="inlineStr">
        <is>
          <t>Vua xi mang M75 xay/trat (sinh tu BTCT/tuong/son) - Tang 1</t>
        </is>
      </c>
      <c r="D28" s="20" t="inlineStr">
        <is>
          <t>m3</t>
        </is>
      </c>
      <c r="E28" s="22" t="n">
        <v>2.368</v>
      </c>
      <c r="F28" s="23" t="n">
        <v>7</v>
      </c>
      <c r="G28" s="22">
        <f>E28*(1+F28/100)</f>
        <v/>
      </c>
      <c r="H28" s="24" t="n">
        <v>1280000</v>
      </c>
      <c r="I28" s="24">
        <f>G28*H28</f>
        <v/>
      </c>
    </row>
    <row r="29">
      <c r="A29" s="5" t="n">
        <v>22</v>
      </c>
      <c r="B29" s="6" t="inlineStr">
        <is>
          <t>VUA-XM-M75</t>
        </is>
      </c>
      <c r="C29" s="6" t="inlineStr">
        <is>
          <t>Vua xi mang M75 xay/trat (sinh tu BTCT/tuong/son) - Tang 2</t>
        </is>
      </c>
      <c r="D29" s="5" t="inlineStr">
        <is>
          <t>m3</t>
        </is>
      </c>
      <c r="E29" s="25" t="n">
        <v>2.368</v>
      </c>
      <c r="F29" s="26" t="n">
        <v>7</v>
      </c>
      <c r="G29" s="25">
        <f>E29*(1+F29/100)</f>
        <v/>
      </c>
      <c r="H29" s="8" t="n">
        <v>1280000</v>
      </c>
      <c r="I29" s="8">
        <f>G29*H29</f>
        <v/>
      </c>
    </row>
    <row r="30">
      <c r="A30" s="20" t="n">
        <v>23</v>
      </c>
      <c r="B30" s="21" t="inlineStr">
        <is>
          <t>VUA-XM-M75</t>
        </is>
      </c>
      <c r="C30" s="21" t="inlineStr">
        <is>
          <t>Vua xi mang M75 xay/trat (sinh tu BTCT/tuong/son) - Tang 3</t>
        </is>
      </c>
      <c r="D30" s="20" t="inlineStr">
        <is>
          <t>m3</t>
        </is>
      </c>
      <c r="E30" s="22" t="n">
        <v>2.368</v>
      </c>
      <c r="F30" s="23" t="n">
        <v>7</v>
      </c>
      <c r="G30" s="22">
        <f>E30*(1+F30/100)</f>
        <v/>
      </c>
      <c r="H30" s="24" t="n">
        <v>1280000</v>
      </c>
      <c r="I30" s="24">
        <f>G30*H30</f>
        <v/>
      </c>
    </row>
    <row r="31">
      <c r="A31" s="5" t="n">
        <v>24</v>
      </c>
      <c r="B31" s="6" t="inlineStr">
        <is>
          <t>XIMANG-PCB40</t>
        </is>
      </c>
      <c r="C31" s="6" t="inlineStr">
        <is>
          <t>Xi mang PCB40</t>
        </is>
      </c>
      <c r="D31" s="5" t="inlineStr">
        <is>
          <t>tan</t>
        </is>
      </c>
      <c r="E31" s="25" t="n">
        <v>14.4</v>
      </c>
      <c r="F31" s="26" t="n">
        <v>3</v>
      </c>
      <c r="G31" s="25">
        <f>E31*(1+F31/100)</f>
        <v/>
      </c>
      <c r="H31" s="8" t="n">
        <v>1650000</v>
      </c>
      <c r="I31" s="8">
        <f>G31*H31</f>
        <v/>
      </c>
    </row>
    <row r="32">
      <c r="A32" s="20" t="n">
        <v>25</v>
      </c>
      <c r="B32" s="21" t="inlineStr">
        <is>
          <t>CAT-VANG</t>
        </is>
      </c>
      <c r="C32" s="21" t="inlineStr">
        <is>
          <t>Cat vang xay tat</t>
        </is>
      </c>
      <c r="D32" s="20" t="inlineStr">
        <is>
          <t>m3</t>
        </is>
      </c>
      <c r="E32" s="22" t="n">
        <v>24</v>
      </c>
      <c r="F32" s="23" t="n">
        <v>5</v>
      </c>
      <c r="G32" s="22">
        <f>E32*(1+F32/100)</f>
        <v/>
      </c>
      <c r="H32" s="24" t="n">
        <v>380000</v>
      </c>
      <c r="I32" s="24">
        <f>G32*H32</f>
        <v/>
      </c>
    </row>
    <row r="33">
      <c r="A33" s="5" t="n">
        <v>26</v>
      </c>
      <c r="B33" s="6" t="inlineStr">
        <is>
          <t>DA-1x2</t>
        </is>
      </c>
      <c r="C33" s="6" t="inlineStr">
        <is>
          <t>Da 1x2 do BTCT</t>
        </is>
      </c>
      <c r="D33" s="5" t="inlineStr">
        <is>
          <t>m3</t>
        </is>
      </c>
      <c r="E33" s="25" t="n">
        <v>19.2</v>
      </c>
      <c r="F33" s="26" t="n">
        <v>5</v>
      </c>
      <c r="G33" s="25">
        <f>E33*(1+F33/100)</f>
        <v/>
      </c>
      <c r="H33" s="8" t="n">
        <v>320000</v>
      </c>
      <c r="I33" s="8">
        <f>G33*H33</f>
        <v/>
      </c>
    </row>
    <row r="34">
      <c r="A34" s="15" t="inlineStr">
        <is>
          <t>CONG PHAN THO - KET CAU</t>
        </is>
      </c>
      <c r="B34" s="11" t="n"/>
      <c r="C34" s="11" t="n"/>
      <c r="D34" s="11" t="n"/>
      <c r="E34" s="11" t="n"/>
      <c r="F34" s="11" t="n"/>
      <c r="G34" s="11" t="n"/>
      <c r="H34" s="11" t="n"/>
      <c r="I34" s="16">
        <f>SUM(I8:I33)</f>
        <v/>
      </c>
    </row>
  </sheetData>
  <mergeCells count="5">
    <mergeCell ref="A2:I2"/>
    <mergeCell ref="A5:I5"/>
    <mergeCell ref="A1:I1"/>
    <mergeCell ref="A3:I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Nha pho 3 tang 80m²  |  Ma: VCT-TEST-HOUSE-001</t>
        </is>
      </c>
    </row>
    <row r="3">
      <c r="A3" s="3" t="inlineStr">
        <is>
          <t>Dien tich san: 240.00 m²  |  So tang: 3  |  Phong cach: modern  |  Lap: 03/05/2026</t>
        </is>
      </c>
    </row>
    <row r="5">
      <c r="A5" s="19" t="inlineStr">
        <is>
          <t>Hoan thien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CUA-NHOM-XINGFA</t>
        </is>
      </c>
      <c r="C8" s="21" t="inlineStr">
        <is>
          <t>Cua nhom Xingfa he 55 (kinh 6.38mm) - Tang 1</t>
        </is>
      </c>
      <c r="D8" s="20" t="inlineStr">
        <is>
          <t>m2</t>
        </is>
      </c>
      <c r="E8" s="22" t="n">
        <v>7.92</v>
      </c>
      <c r="F8" s="23" t="n">
        <v>5</v>
      </c>
      <c r="G8" s="22">
        <f>E8*(1+F8/100)</f>
        <v/>
      </c>
      <c r="H8" s="24" t="n">
        <v>2400000</v>
      </c>
      <c r="I8" s="24">
        <f>G8*H8</f>
        <v/>
      </c>
    </row>
    <row r="9">
      <c r="A9" s="5" t="n">
        <v>2</v>
      </c>
      <c r="B9" s="6" t="inlineStr">
        <is>
          <t>CUA-NHOM-XINGFA</t>
        </is>
      </c>
      <c r="C9" s="6" t="inlineStr">
        <is>
          <t>Cua nhom Xingfa he 55 (kinh 6.38mm) - Tang 2</t>
        </is>
      </c>
      <c r="D9" s="5" t="inlineStr">
        <is>
          <t>m2</t>
        </is>
      </c>
      <c r="E9" s="25" t="n">
        <v>7.92</v>
      </c>
      <c r="F9" s="26" t="n">
        <v>5</v>
      </c>
      <c r="G9" s="25">
        <f>E9*(1+F9/100)</f>
        <v/>
      </c>
      <c r="H9" s="8" t="n">
        <v>2400000</v>
      </c>
      <c r="I9" s="8">
        <f>G9*H9</f>
        <v/>
      </c>
    </row>
    <row r="10">
      <c r="A10" s="20" t="n">
        <v>3</v>
      </c>
      <c r="B10" s="21" t="inlineStr">
        <is>
          <t>CUA-NHOM-XINGFA</t>
        </is>
      </c>
      <c r="C10" s="21" t="inlineStr">
        <is>
          <t>Cua nhom Xingfa he 55 (kinh 6.38mm) - Tang 3</t>
        </is>
      </c>
      <c r="D10" s="20" t="inlineStr">
        <is>
          <t>m2</t>
        </is>
      </c>
      <c r="E10" s="22" t="n">
        <v>7.92</v>
      </c>
      <c r="F10" s="23" t="n">
        <v>5</v>
      </c>
      <c r="G10" s="22">
        <f>E10*(1+F10/100)</f>
        <v/>
      </c>
      <c r="H10" s="24" t="n">
        <v>2400000</v>
      </c>
      <c r="I10" s="24">
        <f>G10*H10</f>
        <v/>
      </c>
    </row>
    <row r="11">
      <c r="A11" s="5" t="n">
        <v>4</v>
      </c>
      <c r="B11" s="6" t="inlineStr">
        <is>
          <t>CUA-NHOM-XINGFA</t>
        </is>
      </c>
      <c r="C11" s="6" t="inlineStr">
        <is>
          <t>Cua nhom Xingfa he 55 (kinh 6.38mm) - Tang 1</t>
        </is>
      </c>
      <c r="D11" s="5" t="inlineStr">
        <is>
          <t>m2</t>
        </is>
      </c>
      <c r="E11" s="25" t="n">
        <v>8.4</v>
      </c>
      <c r="F11" s="26" t="n">
        <v>5</v>
      </c>
      <c r="G11" s="25">
        <f>E11*(1+F11/100)</f>
        <v/>
      </c>
      <c r="H11" s="8" t="n">
        <v>2400000</v>
      </c>
      <c r="I11" s="8">
        <f>G11*H11</f>
        <v/>
      </c>
    </row>
    <row r="12">
      <c r="A12" s="20" t="n">
        <v>5</v>
      </c>
      <c r="B12" s="21" t="inlineStr">
        <is>
          <t>CUA-NHOM-XINGFA</t>
        </is>
      </c>
      <c r="C12" s="21" t="inlineStr">
        <is>
          <t>Cua nhom Xingfa he 55 (kinh 6.38mm) - Tang 2</t>
        </is>
      </c>
      <c r="D12" s="20" t="inlineStr">
        <is>
          <t>m2</t>
        </is>
      </c>
      <c r="E12" s="22" t="n">
        <v>8.4</v>
      </c>
      <c r="F12" s="23" t="n">
        <v>5</v>
      </c>
      <c r="G12" s="22">
        <f>E12*(1+F12/100)</f>
        <v/>
      </c>
      <c r="H12" s="24" t="n">
        <v>2400000</v>
      </c>
      <c r="I12" s="24">
        <f>G12*H12</f>
        <v/>
      </c>
    </row>
    <row r="13">
      <c r="A13" s="5" t="n">
        <v>6</v>
      </c>
      <c r="B13" s="6" t="inlineStr">
        <is>
          <t>CUA-NHOM-XINGFA</t>
        </is>
      </c>
      <c r="C13" s="6" t="inlineStr">
        <is>
          <t>Cua nhom Xingfa he 55 (kinh 6.38mm) - Tang 3</t>
        </is>
      </c>
      <c r="D13" s="5" t="inlineStr">
        <is>
          <t>m2</t>
        </is>
      </c>
      <c r="E13" s="25" t="n">
        <v>8.4</v>
      </c>
      <c r="F13" s="26" t="n">
        <v>5</v>
      </c>
      <c r="G13" s="25">
        <f>E13*(1+F13/100)</f>
        <v/>
      </c>
      <c r="H13" s="8" t="n">
        <v>2400000</v>
      </c>
      <c r="I13" s="8">
        <f>G13*H13</f>
        <v/>
      </c>
    </row>
    <row r="14">
      <c r="A14" s="20" t="n">
        <v>7</v>
      </c>
      <c r="B14" s="21" t="inlineStr">
        <is>
          <t>GACH-LAT-DT-600</t>
        </is>
      </c>
      <c r="C14" s="21" t="inlineStr">
        <is>
          <t>Gach lat nen Dong Tam 600x600 men kho - Tang 1</t>
        </is>
      </c>
      <c r="D14" s="20" t="inlineStr">
        <is>
          <t>m2</t>
        </is>
      </c>
      <c r="E14" s="22" t="n">
        <v>5.814</v>
      </c>
      <c r="F14" s="23" t="n">
        <v>5</v>
      </c>
      <c r="G14" s="22">
        <f>E14*(1+F14/100)</f>
        <v/>
      </c>
      <c r="H14" s="24" t="n">
        <v>320000</v>
      </c>
      <c r="I14" s="24">
        <f>G14*H14</f>
        <v/>
      </c>
    </row>
    <row r="15">
      <c r="A15" s="5" t="n">
        <v>8</v>
      </c>
      <c r="B15" s="6" t="inlineStr">
        <is>
          <t>GACH-LAT-DT-600</t>
        </is>
      </c>
      <c r="C15" s="6" t="inlineStr">
        <is>
          <t>Gach lat nen Dong Tam 600x600 men kho - Tang 2</t>
        </is>
      </c>
      <c r="D15" s="5" t="inlineStr">
        <is>
          <t>m2</t>
        </is>
      </c>
      <c r="E15" s="25" t="n">
        <v>5.814</v>
      </c>
      <c r="F15" s="26" t="n">
        <v>5</v>
      </c>
      <c r="G15" s="25">
        <f>E15*(1+F15/100)</f>
        <v/>
      </c>
      <c r="H15" s="8" t="n">
        <v>320000</v>
      </c>
      <c r="I15" s="8">
        <f>G15*H15</f>
        <v/>
      </c>
    </row>
    <row r="16">
      <c r="A16" s="20" t="n">
        <v>9</v>
      </c>
      <c r="B16" s="21" t="inlineStr">
        <is>
          <t>GACH-LAT-DT-600</t>
        </is>
      </c>
      <c r="C16" s="21" t="inlineStr">
        <is>
          <t>Gach lat nen Dong Tam 600x600 men kho - Tang 3</t>
        </is>
      </c>
      <c r="D16" s="20" t="inlineStr">
        <is>
          <t>m2</t>
        </is>
      </c>
      <c r="E16" s="22" t="n">
        <v>5.814</v>
      </c>
      <c r="F16" s="23" t="n">
        <v>5</v>
      </c>
      <c r="G16" s="22">
        <f>E16*(1+F16/100)</f>
        <v/>
      </c>
      <c r="H16" s="24" t="n">
        <v>320000</v>
      </c>
      <c r="I16" s="24">
        <f>G16*H16</f>
        <v/>
      </c>
    </row>
    <row r="17">
      <c r="A17" s="5" t="n">
        <v>10</v>
      </c>
      <c r="B17" s="6" t="inlineStr">
        <is>
          <t>GACH-OP-WC-DT</t>
        </is>
      </c>
      <c r="C17" s="6" t="inlineStr">
        <is>
          <t>Gach op tuong WC Dong Tam 300x600 - Tang 1</t>
        </is>
      </c>
      <c r="D17" s="5" t="inlineStr">
        <is>
          <t>m2</t>
        </is>
      </c>
      <c r="E17" s="25" t="n">
        <v>6.25</v>
      </c>
      <c r="F17" s="26" t="n">
        <v>5</v>
      </c>
      <c r="G17" s="25">
        <f>E17*(1+F17/100)</f>
        <v/>
      </c>
      <c r="H17" s="8" t="n">
        <v>280000</v>
      </c>
      <c r="I17" s="8">
        <f>G17*H17</f>
        <v/>
      </c>
    </row>
    <row r="18">
      <c r="A18" s="20" t="n">
        <v>11</v>
      </c>
      <c r="B18" s="21" t="inlineStr">
        <is>
          <t>GACH-OP-WC-DT</t>
        </is>
      </c>
      <c r="C18" s="21" t="inlineStr">
        <is>
          <t>Gach op tuong WC Dong Tam 300x600 - Tang 2</t>
        </is>
      </c>
      <c r="D18" s="20" t="inlineStr">
        <is>
          <t>m2</t>
        </is>
      </c>
      <c r="E18" s="22" t="n">
        <v>6.25</v>
      </c>
      <c r="F18" s="23" t="n">
        <v>5</v>
      </c>
      <c r="G18" s="22">
        <f>E18*(1+F18/100)</f>
        <v/>
      </c>
      <c r="H18" s="24" t="n">
        <v>280000</v>
      </c>
      <c r="I18" s="24">
        <f>G18*H18</f>
        <v/>
      </c>
    </row>
    <row r="19">
      <c r="A19" s="5" t="n">
        <v>12</v>
      </c>
      <c r="B19" s="6" t="inlineStr">
        <is>
          <t>GACH-OP-WC-DT</t>
        </is>
      </c>
      <c r="C19" s="6" t="inlineStr">
        <is>
          <t>Gach op tuong WC Dong Tam 300x600 - Tang 3</t>
        </is>
      </c>
      <c r="D19" s="5" t="inlineStr">
        <is>
          <t>m2</t>
        </is>
      </c>
      <c r="E19" s="25" t="n">
        <v>6.25</v>
      </c>
      <c r="F19" s="26" t="n">
        <v>5</v>
      </c>
      <c r="G19" s="25">
        <f>E19*(1+F19/100)</f>
        <v/>
      </c>
      <c r="H19" s="8" t="n">
        <v>280000</v>
      </c>
      <c r="I19" s="8">
        <f>G19*H19</f>
        <v/>
      </c>
    </row>
    <row r="20">
      <c r="A20" s="20" t="n">
        <v>13</v>
      </c>
      <c r="B20" s="21" t="inlineStr">
        <is>
          <t>SON-DULUX-IN</t>
        </is>
      </c>
      <c r="C20" s="21" t="inlineStr">
        <is>
          <t>Son Dulux Easy Clean trong nha (lit) - Tang 1</t>
        </is>
      </c>
      <c r="D20" s="20" t="inlineStr">
        <is>
          <t>lit</t>
        </is>
      </c>
      <c r="E20" s="22" t="n">
        <v>21.384</v>
      </c>
      <c r="F20" s="23" t="n">
        <v>8</v>
      </c>
      <c r="G20" s="22">
        <f>E20*(1+F20/100)</f>
        <v/>
      </c>
      <c r="H20" s="24" t="n">
        <v>360000</v>
      </c>
      <c r="I20" s="24">
        <f>G20*H20</f>
        <v/>
      </c>
    </row>
    <row r="21">
      <c r="A21" s="5" t="n">
        <v>14</v>
      </c>
      <c r="B21" s="6" t="inlineStr">
        <is>
          <t>SON-DULUX-IN</t>
        </is>
      </c>
      <c r="C21" s="6" t="inlineStr">
        <is>
          <t>Son Dulux Easy Clean trong nha (lit) - Tang 2</t>
        </is>
      </c>
      <c r="D21" s="5" t="inlineStr">
        <is>
          <t>lit</t>
        </is>
      </c>
      <c r="E21" s="25" t="n">
        <v>21.384</v>
      </c>
      <c r="F21" s="26" t="n">
        <v>8</v>
      </c>
      <c r="G21" s="25">
        <f>E21*(1+F21/100)</f>
        <v/>
      </c>
      <c r="H21" s="8" t="n">
        <v>360000</v>
      </c>
      <c r="I21" s="8">
        <f>G21*H21</f>
        <v/>
      </c>
    </row>
    <row r="22">
      <c r="A22" s="20" t="n">
        <v>15</v>
      </c>
      <c r="B22" s="21" t="inlineStr">
        <is>
          <t>SON-DULUX-IN</t>
        </is>
      </c>
      <c r="C22" s="21" t="inlineStr">
        <is>
          <t>Son Dulux Easy Clean trong nha (lit) - Tang 3</t>
        </is>
      </c>
      <c r="D22" s="20" t="inlineStr">
        <is>
          <t>lit</t>
        </is>
      </c>
      <c r="E22" s="22" t="n">
        <v>21.384</v>
      </c>
      <c r="F22" s="23" t="n">
        <v>8</v>
      </c>
      <c r="G22" s="22">
        <f>E22*(1+F22/100)</f>
        <v/>
      </c>
      <c r="H22" s="24" t="n">
        <v>360000</v>
      </c>
      <c r="I22" s="24">
        <f>G22*H22</f>
        <v/>
      </c>
    </row>
    <row r="23">
      <c r="A23" s="5" t="n">
        <v>16</v>
      </c>
      <c r="B23" s="6" t="inlineStr">
        <is>
          <t>TRAN-THACH-CAO</t>
        </is>
      </c>
      <c r="C23" s="6" t="inlineStr">
        <is>
          <t>Tran thach cao chim Vinh Tuong + tam Gyproc - Tang 1</t>
        </is>
      </c>
      <c r="D23" s="5" t="inlineStr">
        <is>
          <t>m2</t>
        </is>
      </c>
      <c r="E23" s="25" t="n">
        <v>72.95999999999999</v>
      </c>
      <c r="F23" s="26" t="n">
        <v>6</v>
      </c>
      <c r="G23" s="25">
        <f>E23*(1+F23/100)</f>
        <v/>
      </c>
      <c r="H23" s="8" t="n">
        <v>320000</v>
      </c>
      <c r="I23" s="8">
        <f>G23*H23</f>
        <v/>
      </c>
    </row>
    <row r="24">
      <c r="A24" s="20" t="n">
        <v>17</v>
      </c>
      <c r="B24" s="21" t="inlineStr">
        <is>
          <t>TRAN-THACH-CAO</t>
        </is>
      </c>
      <c r="C24" s="21" t="inlineStr">
        <is>
          <t>Tran thach cao chim Vinh Tuong + tam Gyproc - Tang 2</t>
        </is>
      </c>
      <c r="D24" s="20" t="inlineStr">
        <is>
          <t>m2</t>
        </is>
      </c>
      <c r="E24" s="22" t="n">
        <v>72.95999999999999</v>
      </c>
      <c r="F24" s="23" t="n">
        <v>6</v>
      </c>
      <c r="G24" s="22">
        <f>E24*(1+F24/100)</f>
        <v/>
      </c>
      <c r="H24" s="24" t="n">
        <v>320000</v>
      </c>
      <c r="I24" s="24">
        <f>G24*H24</f>
        <v/>
      </c>
    </row>
    <row r="25">
      <c r="A25" s="5" t="n">
        <v>18</v>
      </c>
      <c r="B25" s="6" t="inlineStr">
        <is>
          <t>TRAN-THACH-CAO</t>
        </is>
      </c>
      <c r="C25" s="6" t="inlineStr">
        <is>
          <t>Tran thach cao chim Vinh Tuong + tam Gyproc - Tang 3</t>
        </is>
      </c>
      <c r="D25" s="5" t="inlineStr">
        <is>
          <t>m2</t>
        </is>
      </c>
      <c r="E25" s="25" t="n">
        <v>72.95999999999999</v>
      </c>
      <c r="F25" s="26" t="n">
        <v>6</v>
      </c>
      <c r="G25" s="25">
        <f>E25*(1+F25/100)</f>
        <v/>
      </c>
      <c r="H25" s="8" t="n">
        <v>320000</v>
      </c>
      <c r="I25" s="8">
        <f>G25*H25</f>
        <v/>
      </c>
    </row>
    <row r="26">
      <c r="A26" s="20" t="n">
        <v>19</v>
      </c>
      <c r="B26" s="21" t="inlineStr">
        <is>
          <t>LAN-CAN-INOX</t>
        </is>
      </c>
      <c r="C26" s="21" t="inlineStr">
        <is>
          <t>Lan can inox 304 + kinh cuong luc 10mm - Tang 1</t>
        </is>
      </c>
      <c r="D26" s="20" t="inlineStr">
        <is>
          <t>m</t>
        </is>
      </c>
      <c r="E26" s="22" t="n">
        <v>3</v>
      </c>
      <c r="F26" s="23" t="n">
        <v>5</v>
      </c>
      <c r="G26" s="22">
        <f>E26*(1+F26/100)</f>
        <v/>
      </c>
      <c r="H26" s="24" t="n">
        <v>1650000</v>
      </c>
      <c r="I26" s="24">
        <f>G26*H26</f>
        <v/>
      </c>
    </row>
    <row r="27">
      <c r="A27" s="5" t="n">
        <v>20</v>
      </c>
      <c r="B27" s="6" t="inlineStr">
        <is>
          <t>LAN-CAN-INOX</t>
        </is>
      </c>
      <c r="C27" s="6" t="inlineStr">
        <is>
          <t>Lan can inox 304 + kinh cuong luc 10mm - Tang 2</t>
        </is>
      </c>
      <c r="D27" s="5" t="inlineStr">
        <is>
          <t>m</t>
        </is>
      </c>
      <c r="E27" s="25" t="n">
        <v>3</v>
      </c>
      <c r="F27" s="26" t="n">
        <v>5</v>
      </c>
      <c r="G27" s="25">
        <f>E27*(1+F27/100)</f>
        <v/>
      </c>
      <c r="H27" s="8" t="n">
        <v>1650000</v>
      </c>
      <c r="I27" s="8">
        <f>G27*H27</f>
        <v/>
      </c>
    </row>
    <row r="28">
      <c r="A28" s="20" t="n">
        <v>21</v>
      </c>
      <c r="B28" s="21" t="inlineStr">
        <is>
          <t>LAN-CAN-INOX</t>
        </is>
      </c>
      <c r="C28" s="21" t="inlineStr">
        <is>
          <t>Lan can inox 304 + kinh cuong luc 10mm - Tang 3</t>
        </is>
      </c>
      <c r="D28" s="20" t="inlineStr">
        <is>
          <t>m</t>
        </is>
      </c>
      <c r="E28" s="22" t="n">
        <v>3</v>
      </c>
      <c r="F28" s="23" t="n">
        <v>5</v>
      </c>
      <c r="G28" s="22">
        <f>E28*(1+F28/100)</f>
        <v/>
      </c>
      <c r="H28" s="24" t="n">
        <v>1650000</v>
      </c>
      <c r="I28" s="24">
        <f>G28*H28</f>
        <v/>
      </c>
    </row>
    <row r="29">
      <c r="A29" s="5" t="n">
        <v>22</v>
      </c>
      <c r="B29" s="6" t="inlineStr">
        <is>
          <t>CHONG-THAM</t>
        </is>
      </c>
      <c r="C29" s="6" t="inlineStr">
        <is>
          <t>Chong tham WC + ban cong + mai</t>
        </is>
      </c>
      <c r="D29" s="5" t="inlineStr">
        <is>
          <t>m2</t>
        </is>
      </c>
      <c r="E29" s="25" t="n">
        <v>60</v>
      </c>
      <c r="F29" s="26" t="n">
        <v>10</v>
      </c>
      <c r="G29" s="25">
        <f>E29*(1+F29/100)</f>
        <v/>
      </c>
      <c r="H29" s="8" t="n">
        <v>220000</v>
      </c>
      <c r="I29" s="8">
        <f>G29*H29</f>
        <v/>
      </c>
    </row>
    <row r="30">
      <c r="A30" s="20" t="n">
        <v>23</v>
      </c>
      <c r="B30" s="21" t="inlineStr">
        <is>
          <t>MAI-NGOI</t>
        </is>
      </c>
      <c r="C30" s="21" t="inlineStr">
        <is>
          <t>Mai ngoi Viglacera + xa go</t>
        </is>
      </c>
      <c r="D30" s="20" t="inlineStr">
        <is>
          <t>m2</t>
        </is>
      </c>
      <c r="E30" s="22" t="n">
        <v>96</v>
      </c>
      <c r="F30" s="23" t="n">
        <v>7</v>
      </c>
      <c r="G30" s="22">
        <f>E30*(1+F30/100)</f>
        <v/>
      </c>
      <c r="H30" s="24" t="n">
        <v>850000</v>
      </c>
      <c r="I30" s="24">
        <f>G30*H30</f>
        <v/>
      </c>
    </row>
    <row r="31">
      <c r="A31" s="5" t="n">
        <v>24</v>
      </c>
      <c r="B31" s="6" t="inlineStr">
        <is>
          <t>LAN-CAN-INOX</t>
        </is>
      </c>
      <c r="C31" s="6" t="inlineStr">
        <is>
          <t>Lan can inox 304 + kinh</t>
        </is>
      </c>
      <c r="D31" s="5" t="inlineStr">
        <is>
          <t>m</t>
        </is>
      </c>
      <c r="E31" s="25" t="n">
        <v>36</v>
      </c>
      <c r="F31" s="26" t="n">
        <v>5</v>
      </c>
      <c r="G31" s="25">
        <f>E31*(1+F31/100)</f>
        <v/>
      </c>
      <c r="H31" s="8" t="n">
        <v>1650000</v>
      </c>
      <c r="I31" s="8">
        <f>G31*H31</f>
        <v/>
      </c>
    </row>
    <row r="32">
      <c r="A32" s="20" t="n">
        <v>25</v>
      </c>
      <c r="B32" s="21" t="inlineStr">
        <is>
          <t>KINH-HOPLOP</t>
        </is>
      </c>
      <c r="C32" s="21" t="inlineStr">
        <is>
          <t>Kinh hop cach am cua mat tien</t>
        </is>
      </c>
      <c r="D32" s="20" t="inlineStr">
        <is>
          <t>m2</t>
        </is>
      </c>
      <c r="E32" s="22" t="n">
        <v>24</v>
      </c>
      <c r="F32" s="23" t="n">
        <v>7</v>
      </c>
      <c r="G32" s="22">
        <f>E32*(1+F32/100)</f>
        <v/>
      </c>
      <c r="H32" s="24" t="n">
        <v>1250000</v>
      </c>
      <c r="I32" s="24">
        <f>G32*H32</f>
        <v/>
      </c>
    </row>
    <row r="33">
      <c r="A33" s="5" t="n">
        <v>26</v>
      </c>
      <c r="B33" s="6" t="inlineStr">
        <is>
          <t>DEN-LED-PHILIPS-18W</t>
        </is>
      </c>
      <c r="C33" s="6" t="inlineStr">
        <is>
          <t>Den LED am tran Philips 18W trang am</t>
        </is>
      </c>
      <c r="D33" s="5" t="inlineStr">
        <is>
          <t>cai</t>
        </is>
      </c>
      <c r="E33" s="25" t="n">
        <v>204</v>
      </c>
      <c r="F33" s="26" t="n">
        <v>2</v>
      </c>
      <c r="G33" s="25">
        <f>E33*(1+F33/100)</f>
        <v/>
      </c>
      <c r="H33" s="8" t="n">
        <v>480000</v>
      </c>
      <c r="I33" s="8">
        <f>G33*H33</f>
        <v/>
      </c>
    </row>
    <row r="34">
      <c r="A34" s="20" t="n">
        <v>27</v>
      </c>
      <c r="B34" s="21" t="inlineStr">
        <is>
          <t>OCAM-SCHN-220</t>
        </is>
      </c>
      <c r="C34" s="21" t="inlineStr">
        <is>
          <t>O cam Schneider 3 chau 220V chong giat</t>
        </is>
      </c>
      <c r="D34" s="20" t="inlineStr">
        <is>
          <t>cai</t>
        </is>
      </c>
      <c r="E34" s="22" t="n">
        <v>18</v>
      </c>
      <c r="F34" s="23" t="n">
        <v>2</v>
      </c>
      <c r="G34" s="22">
        <f>E34*(1+F34/100)</f>
        <v/>
      </c>
      <c r="H34" s="24" t="n">
        <v>285000</v>
      </c>
      <c r="I34" s="24">
        <f>G34*H34</f>
        <v/>
      </c>
    </row>
    <row r="35">
      <c r="A35" s="5" t="n">
        <v>28</v>
      </c>
      <c r="B35" s="6" t="inlineStr">
        <is>
          <t>CONG-TAC-SCHN</t>
        </is>
      </c>
      <c r="C35" s="6" t="inlineStr">
        <is>
          <t>Cong tac Schneider Concept 1-3 phim</t>
        </is>
      </c>
      <c r="D35" s="5" t="inlineStr">
        <is>
          <t>cai</t>
        </is>
      </c>
      <c r="E35" s="25" t="n">
        <v>9</v>
      </c>
      <c r="F35" s="26" t="n">
        <v>2</v>
      </c>
      <c r="G35" s="25">
        <f>E35*(1+F35/100)</f>
        <v/>
      </c>
      <c r="H35" s="8" t="n">
        <v>195000</v>
      </c>
      <c r="I35" s="8">
        <f>G35*H35</f>
        <v/>
      </c>
    </row>
    <row r="36">
      <c r="A36" s="20" t="n">
        <v>29</v>
      </c>
      <c r="B36" s="21" t="inlineStr">
        <is>
          <t>DIEU-HOA-DAIKIN-12K</t>
        </is>
      </c>
      <c r="C36" s="21" t="inlineStr">
        <is>
          <t>Dieu hoa Daikin Inverter 12000BTU + lap dat</t>
        </is>
      </c>
      <c r="D36" s="20" t="inlineStr">
        <is>
          <t>bo</t>
        </is>
      </c>
      <c r="E36" s="22" t="n">
        <v>9</v>
      </c>
      <c r="F36" s="23" t="n">
        <v>0</v>
      </c>
      <c r="G36" s="22">
        <f>E36*(1+F36/100)</f>
        <v/>
      </c>
      <c r="H36" s="24" t="n">
        <v>18500000</v>
      </c>
      <c r="I36" s="24">
        <f>G36*H36</f>
        <v/>
      </c>
    </row>
    <row r="37">
      <c r="A37" s="5" t="n">
        <v>30</v>
      </c>
      <c r="B37" s="6" t="inlineStr">
        <is>
          <t>DEN-LED-PHILIPS-18W</t>
        </is>
      </c>
      <c r="C37" s="6" t="inlineStr">
        <is>
          <t>Den LED am tran - Tang 1</t>
        </is>
      </c>
      <c r="D37" s="5" t="inlineStr">
        <is>
          <t>cai</t>
        </is>
      </c>
      <c r="E37" s="25" t="n">
        <v>20</v>
      </c>
      <c r="F37" s="26" t="n">
        <v>2</v>
      </c>
      <c r="G37" s="25">
        <f>E37*(1+F37/100)</f>
        <v/>
      </c>
      <c r="H37" s="8" t="n">
        <v>480000</v>
      </c>
      <c r="I37" s="8">
        <f>G37*H37</f>
        <v/>
      </c>
    </row>
    <row r="38">
      <c r="A38" s="20" t="n">
        <v>31</v>
      </c>
      <c r="B38" s="21" t="inlineStr">
        <is>
          <t>OCAM-SCHN-220</t>
        </is>
      </c>
      <c r="C38" s="21" t="inlineStr">
        <is>
          <t>O cam Schneider - Tang 1</t>
        </is>
      </c>
      <c r="D38" s="20" t="inlineStr">
        <is>
          <t>cai</t>
        </is>
      </c>
      <c r="E38" s="22" t="n">
        <v>9.6</v>
      </c>
      <c r="F38" s="23" t="n">
        <v>2</v>
      </c>
      <c r="G38" s="22">
        <f>E38*(1+F38/100)</f>
        <v/>
      </c>
      <c r="H38" s="24" t="n">
        <v>285000</v>
      </c>
      <c r="I38" s="24">
        <f>G38*H38</f>
        <v/>
      </c>
    </row>
    <row r="39">
      <c r="A39" s="5" t="n">
        <v>32</v>
      </c>
      <c r="B39" s="6" t="inlineStr">
        <is>
          <t>CONG-TAC-SCHN</t>
        </is>
      </c>
      <c r="C39" s="6" t="inlineStr">
        <is>
          <t>Cong tac - Tang 1</t>
        </is>
      </c>
      <c r="D39" s="5" t="inlineStr">
        <is>
          <t>cai</t>
        </is>
      </c>
      <c r="E39" s="25" t="n">
        <v>4.8</v>
      </c>
      <c r="F39" s="26" t="n">
        <v>2</v>
      </c>
      <c r="G39" s="25">
        <f>E39*(1+F39/100)</f>
        <v/>
      </c>
      <c r="H39" s="8" t="n">
        <v>195000</v>
      </c>
      <c r="I39" s="8">
        <f>G39*H39</f>
        <v/>
      </c>
    </row>
    <row r="40">
      <c r="A40" s="20" t="n">
        <v>33</v>
      </c>
      <c r="B40" s="21" t="inlineStr">
        <is>
          <t>DAY-CADIVI-2.5</t>
        </is>
      </c>
      <c r="C40" s="21" t="inlineStr">
        <is>
          <t>Day dien CV2.5 - Tang 1</t>
        </is>
      </c>
      <c r="D40" s="20" t="inlineStr">
        <is>
          <t>m</t>
        </is>
      </c>
      <c r="E40" s="22" t="n">
        <v>320</v>
      </c>
      <c r="F40" s="23" t="n">
        <v>7</v>
      </c>
      <c r="G40" s="22">
        <f>E40*(1+F40/100)</f>
        <v/>
      </c>
      <c r="H40" s="24" t="n">
        <v>18500</v>
      </c>
      <c r="I40" s="24">
        <f>G40*H40</f>
        <v/>
      </c>
    </row>
    <row r="41">
      <c r="A41" s="5" t="n">
        <v>34</v>
      </c>
      <c r="B41" s="6" t="inlineStr">
        <is>
          <t>DAY-CADIVI-4.0</t>
        </is>
      </c>
      <c r="C41" s="6" t="inlineStr">
        <is>
          <t>Day dien CV4.0 truc dung - Tang 1</t>
        </is>
      </c>
      <c r="D41" s="5" t="inlineStr">
        <is>
          <t>m</t>
        </is>
      </c>
      <c r="E41" s="25" t="n">
        <v>64</v>
      </c>
      <c r="F41" s="26" t="n">
        <v>7</v>
      </c>
      <c r="G41" s="25">
        <f>E41*(1+F41/100)</f>
        <v/>
      </c>
      <c r="H41" s="8" t="n">
        <v>28500</v>
      </c>
      <c r="I41" s="8">
        <f>G41*H41</f>
        <v/>
      </c>
    </row>
    <row r="42">
      <c r="A42" s="20" t="n">
        <v>35</v>
      </c>
      <c r="B42" s="21" t="inlineStr">
        <is>
          <t>ONG-PVC-D27</t>
        </is>
      </c>
      <c r="C42" s="21" t="inlineStr">
        <is>
          <t>Ong dien PVC - Tang 1</t>
        </is>
      </c>
      <c r="D42" s="20" t="inlineStr">
        <is>
          <t>m</t>
        </is>
      </c>
      <c r="E42" s="22" t="n">
        <v>240</v>
      </c>
      <c r="F42" s="23" t="n">
        <v>10</v>
      </c>
      <c r="G42" s="22">
        <f>E42*(1+F42/100)</f>
        <v/>
      </c>
      <c r="H42" s="24" t="n">
        <v>12500</v>
      </c>
      <c r="I42" s="24">
        <f>G42*H42</f>
        <v/>
      </c>
    </row>
    <row r="43">
      <c r="A43" s="5" t="n">
        <v>36</v>
      </c>
      <c r="B43" s="6" t="inlineStr">
        <is>
          <t>ONG-NUOC-PPR-25</t>
        </is>
      </c>
      <c r="C43" s="6" t="inlineStr">
        <is>
          <t>Ong nuoc nong PPR25 - Tang 1</t>
        </is>
      </c>
      <c r="D43" s="5" t="inlineStr">
        <is>
          <t>m</t>
        </is>
      </c>
      <c r="E43" s="25" t="n">
        <v>48</v>
      </c>
      <c r="F43" s="26" t="n">
        <v>10</v>
      </c>
      <c r="G43" s="25">
        <f>E43*(1+F43/100)</f>
        <v/>
      </c>
      <c r="H43" s="8" t="n">
        <v>32500</v>
      </c>
      <c r="I43" s="8">
        <f>G43*H43</f>
        <v/>
      </c>
    </row>
    <row r="44">
      <c r="A44" s="20" t="n">
        <v>37</v>
      </c>
      <c r="B44" s="21" t="inlineStr">
        <is>
          <t>ONG-NUOC-PVC-110</t>
        </is>
      </c>
      <c r="C44" s="21" t="inlineStr">
        <is>
          <t>Ong thoat PVC110 - Tang 1</t>
        </is>
      </c>
      <c r="D44" s="20" t="inlineStr">
        <is>
          <t>m</t>
        </is>
      </c>
      <c r="E44" s="22" t="n">
        <v>24</v>
      </c>
      <c r="F44" s="23" t="n">
        <v>10</v>
      </c>
      <c r="G44" s="22">
        <f>E44*(1+F44/100)</f>
        <v/>
      </c>
      <c r="H44" s="24" t="n">
        <v>65000</v>
      </c>
      <c r="I44" s="24">
        <f>G44*H44</f>
        <v/>
      </c>
    </row>
    <row r="45">
      <c r="A45" s="5" t="n">
        <v>38</v>
      </c>
      <c r="B45" s="6" t="inlineStr">
        <is>
          <t>DIEU-HOA-DAIKIN-12K</t>
        </is>
      </c>
      <c r="C45" s="6" t="inlineStr">
        <is>
          <t>Dieu hoa 12K - Tang 1</t>
        </is>
      </c>
      <c r="D45" s="5" t="inlineStr">
        <is>
          <t>bo</t>
        </is>
      </c>
      <c r="E45" s="25" t="n">
        <v>3</v>
      </c>
      <c r="F45" s="26" t="n">
        <v>0</v>
      </c>
      <c r="G45" s="25">
        <f>E45*(1+F45/100)</f>
        <v/>
      </c>
      <c r="H45" s="8" t="n">
        <v>18500000</v>
      </c>
      <c r="I45" s="8">
        <f>G45*H45</f>
        <v/>
      </c>
    </row>
    <row r="46">
      <c r="A46" s="20" t="n">
        <v>39</v>
      </c>
      <c r="B46" s="21" t="inlineStr">
        <is>
          <t>BINH-NUOC-NONG</t>
        </is>
      </c>
      <c r="C46" s="21" t="inlineStr">
        <is>
          <t>Binh nong lanh - Tang 1</t>
        </is>
      </c>
      <c r="D46" s="20" t="inlineStr">
        <is>
          <t>cai</t>
        </is>
      </c>
      <c r="E46" s="22" t="n">
        <v>2</v>
      </c>
      <c r="F46" s="23" t="n">
        <v>0</v>
      </c>
      <c r="G46" s="22">
        <f>E46*(1+F46/100)</f>
        <v/>
      </c>
      <c r="H46" s="24" t="n">
        <v>4500000</v>
      </c>
      <c r="I46" s="24">
        <f>G46*H46</f>
        <v/>
      </c>
    </row>
    <row r="47">
      <c r="A47" s="5" t="n">
        <v>40</v>
      </c>
      <c r="B47" s="6" t="inlineStr">
        <is>
          <t>DEN-LED-DAY</t>
        </is>
      </c>
      <c r="C47" s="6" t="inlineStr">
        <is>
          <t>LED day haft tran - Tang 1</t>
        </is>
      </c>
      <c r="D47" s="5" t="inlineStr">
        <is>
          <t>m</t>
        </is>
      </c>
      <c r="E47" s="25" t="n">
        <v>40</v>
      </c>
      <c r="F47" s="26" t="n">
        <v>5</v>
      </c>
      <c r="G47" s="25">
        <f>E47*(1+F47/100)</f>
        <v/>
      </c>
      <c r="H47" s="8" t="n">
        <v>85000</v>
      </c>
      <c r="I47" s="8">
        <f>G47*H47</f>
        <v/>
      </c>
    </row>
    <row r="48">
      <c r="A48" s="20" t="n">
        <v>41</v>
      </c>
      <c r="B48" s="21" t="inlineStr">
        <is>
          <t>DEN-LED-PHILIPS-18W</t>
        </is>
      </c>
      <c r="C48" s="21" t="inlineStr">
        <is>
          <t>Den LED am tran - Tang 2</t>
        </is>
      </c>
      <c r="D48" s="20" t="inlineStr">
        <is>
          <t>cai</t>
        </is>
      </c>
      <c r="E48" s="22" t="n">
        <v>20</v>
      </c>
      <c r="F48" s="23" t="n">
        <v>2</v>
      </c>
      <c r="G48" s="22">
        <f>E48*(1+F48/100)</f>
        <v/>
      </c>
      <c r="H48" s="24" t="n">
        <v>480000</v>
      </c>
      <c r="I48" s="24">
        <f>G48*H48</f>
        <v/>
      </c>
    </row>
    <row r="49">
      <c r="A49" s="5" t="n">
        <v>42</v>
      </c>
      <c r="B49" s="6" t="inlineStr">
        <is>
          <t>OCAM-SCHN-220</t>
        </is>
      </c>
      <c r="C49" s="6" t="inlineStr">
        <is>
          <t>O cam Schneider - Tang 2</t>
        </is>
      </c>
      <c r="D49" s="5" t="inlineStr">
        <is>
          <t>cai</t>
        </is>
      </c>
      <c r="E49" s="25" t="n">
        <v>9.6</v>
      </c>
      <c r="F49" s="26" t="n">
        <v>2</v>
      </c>
      <c r="G49" s="25">
        <f>E49*(1+F49/100)</f>
        <v/>
      </c>
      <c r="H49" s="8" t="n">
        <v>285000</v>
      </c>
      <c r="I49" s="8">
        <f>G49*H49</f>
        <v/>
      </c>
    </row>
    <row r="50">
      <c r="A50" s="20" t="n">
        <v>43</v>
      </c>
      <c r="B50" s="21" t="inlineStr">
        <is>
          <t>CONG-TAC-SCHN</t>
        </is>
      </c>
      <c r="C50" s="21" t="inlineStr">
        <is>
          <t>Cong tac - Tang 2</t>
        </is>
      </c>
      <c r="D50" s="20" t="inlineStr">
        <is>
          <t>cai</t>
        </is>
      </c>
      <c r="E50" s="22" t="n">
        <v>4.8</v>
      </c>
      <c r="F50" s="23" t="n">
        <v>2</v>
      </c>
      <c r="G50" s="22">
        <f>E50*(1+F50/100)</f>
        <v/>
      </c>
      <c r="H50" s="24" t="n">
        <v>195000</v>
      </c>
      <c r="I50" s="24">
        <f>G50*H50</f>
        <v/>
      </c>
    </row>
    <row r="51">
      <c r="A51" s="5" t="n">
        <v>44</v>
      </c>
      <c r="B51" s="6" t="inlineStr">
        <is>
          <t>DAY-CADIVI-2.5</t>
        </is>
      </c>
      <c r="C51" s="6" t="inlineStr">
        <is>
          <t>Day dien CV2.5 - Tang 2</t>
        </is>
      </c>
      <c r="D51" s="5" t="inlineStr">
        <is>
          <t>m</t>
        </is>
      </c>
      <c r="E51" s="25" t="n">
        <v>320</v>
      </c>
      <c r="F51" s="26" t="n">
        <v>7</v>
      </c>
      <c r="G51" s="25">
        <f>E51*(1+F51/100)</f>
        <v/>
      </c>
      <c r="H51" s="8" t="n">
        <v>18500</v>
      </c>
      <c r="I51" s="8">
        <f>G51*H51</f>
        <v/>
      </c>
    </row>
    <row r="52">
      <c r="A52" s="20" t="n">
        <v>45</v>
      </c>
      <c r="B52" s="21" t="inlineStr">
        <is>
          <t>DAY-CADIVI-4.0</t>
        </is>
      </c>
      <c r="C52" s="21" t="inlineStr">
        <is>
          <t>Day dien CV4.0 truc dung - Tang 2</t>
        </is>
      </c>
      <c r="D52" s="20" t="inlineStr">
        <is>
          <t>m</t>
        </is>
      </c>
      <c r="E52" s="22" t="n">
        <v>64</v>
      </c>
      <c r="F52" s="23" t="n">
        <v>7</v>
      </c>
      <c r="G52" s="22">
        <f>E52*(1+F52/100)</f>
        <v/>
      </c>
      <c r="H52" s="24" t="n">
        <v>28500</v>
      </c>
      <c r="I52" s="24">
        <f>G52*H52</f>
        <v/>
      </c>
    </row>
    <row r="53">
      <c r="A53" s="5" t="n">
        <v>46</v>
      </c>
      <c r="B53" s="6" t="inlineStr">
        <is>
          <t>ONG-PVC-D27</t>
        </is>
      </c>
      <c r="C53" s="6" t="inlineStr">
        <is>
          <t>Ong dien PVC - Tang 2</t>
        </is>
      </c>
      <c r="D53" s="5" t="inlineStr">
        <is>
          <t>m</t>
        </is>
      </c>
      <c r="E53" s="25" t="n">
        <v>240</v>
      </c>
      <c r="F53" s="26" t="n">
        <v>10</v>
      </c>
      <c r="G53" s="25">
        <f>E53*(1+F53/100)</f>
        <v/>
      </c>
      <c r="H53" s="8" t="n">
        <v>12500</v>
      </c>
      <c r="I53" s="8">
        <f>G53*H53</f>
        <v/>
      </c>
    </row>
    <row r="54">
      <c r="A54" s="20" t="n">
        <v>47</v>
      </c>
      <c r="B54" s="21" t="inlineStr">
        <is>
          <t>ONG-NUOC-PPR-25</t>
        </is>
      </c>
      <c r="C54" s="21" t="inlineStr">
        <is>
          <t>Ong nuoc nong PPR25 - Tang 2</t>
        </is>
      </c>
      <c r="D54" s="20" t="inlineStr">
        <is>
          <t>m</t>
        </is>
      </c>
      <c r="E54" s="22" t="n">
        <v>48</v>
      </c>
      <c r="F54" s="23" t="n">
        <v>10</v>
      </c>
      <c r="G54" s="22">
        <f>E54*(1+F54/100)</f>
        <v/>
      </c>
      <c r="H54" s="24" t="n">
        <v>32500</v>
      </c>
      <c r="I54" s="24">
        <f>G54*H54</f>
        <v/>
      </c>
    </row>
    <row r="55">
      <c r="A55" s="5" t="n">
        <v>48</v>
      </c>
      <c r="B55" s="6" t="inlineStr">
        <is>
          <t>ONG-NUOC-PVC-110</t>
        </is>
      </c>
      <c r="C55" s="6" t="inlineStr">
        <is>
          <t>Ong thoat PVC110 - Tang 2</t>
        </is>
      </c>
      <c r="D55" s="5" t="inlineStr">
        <is>
          <t>m</t>
        </is>
      </c>
      <c r="E55" s="25" t="n">
        <v>24</v>
      </c>
      <c r="F55" s="26" t="n">
        <v>10</v>
      </c>
      <c r="G55" s="25">
        <f>E55*(1+F55/100)</f>
        <v/>
      </c>
      <c r="H55" s="8" t="n">
        <v>65000</v>
      </c>
      <c r="I55" s="8">
        <f>G55*H55</f>
        <v/>
      </c>
    </row>
    <row r="56">
      <c r="A56" s="20" t="n">
        <v>49</v>
      </c>
      <c r="B56" s="21" t="inlineStr">
        <is>
          <t>DIEU-HOA-DAIKIN-12K</t>
        </is>
      </c>
      <c r="C56" s="21" t="inlineStr">
        <is>
          <t>Dieu hoa 12K - Tang 2</t>
        </is>
      </c>
      <c r="D56" s="20" t="inlineStr">
        <is>
          <t>bo</t>
        </is>
      </c>
      <c r="E56" s="22" t="n">
        <v>3</v>
      </c>
      <c r="F56" s="23" t="n">
        <v>0</v>
      </c>
      <c r="G56" s="22">
        <f>E56*(1+F56/100)</f>
        <v/>
      </c>
      <c r="H56" s="24" t="n">
        <v>18500000</v>
      </c>
      <c r="I56" s="24">
        <f>G56*H56</f>
        <v/>
      </c>
    </row>
    <row r="57">
      <c r="A57" s="5" t="n">
        <v>50</v>
      </c>
      <c r="B57" s="6" t="inlineStr">
        <is>
          <t>BINH-NUOC-NONG</t>
        </is>
      </c>
      <c r="C57" s="6" t="inlineStr">
        <is>
          <t>Binh nong lanh - Tang 2</t>
        </is>
      </c>
      <c r="D57" s="5" t="inlineStr">
        <is>
          <t>cai</t>
        </is>
      </c>
      <c r="E57" s="25" t="n">
        <v>2</v>
      </c>
      <c r="F57" s="26" t="n">
        <v>0</v>
      </c>
      <c r="G57" s="25">
        <f>E57*(1+F57/100)</f>
        <v/>
      </c>
      <c r="H57" s="8" t="n">
        <v>4500000</v>
      </c>
      <c r="I57" s="8">
        <f>G57*H57</f>
        <v/>
      </c>
    </row>
    <row r="58">
      <c r="A58" s="20" t="n">
        <v>51</v>
      </c>
      <c r="B58" s="21" t="inlineStr">
        <is>
          <t>DEN-LED-DAY</t>
        </is>
      </c>
      <c r="C58" s="21" t="inlineStr">
        <is>
          <t>LED day haft tran - Tang 2</t>
        </is>
      </c>
      <c r="D58" s="20" t="inlineStr">
        <is>
          <t>m</t>
        </is>
      </c>
      <c r="E58" s="22" t="n">
        <v>40</v>
      </c>
      <c r="F58" s="23" t="n">
        <v>5</v>
      </c>
      <c r="G58" s="22">
        <f>E58*(1+F58/100)</f>
        <v/>
      </c>
      <c r="H58" s="24" t="n">
        <v>85000</v>
      </c>
      <c r="I58" s="24">
        <f>G58*H58</f>
        <v/>
      </c>
    </row>
    <row r="59">
      <c r="A59" s="5" t="n">
        <v>52</v>
      </c>
      <c r="B59" s="6" t="inlineStr">
        <is>
          <t>DEN-LED-PHILIPS-18W</t>
        </is>
      </c>
      <c r="C59" s="6" t="inlineStr">
        <is>
          <t>Den LED am tran - Tang 3</t>
        </is>
      </c>
      <c r="D59" s="5" t="inlineStr">
        <is>
          <t>cai</t>
        </is>
      </c>
      <c r="E59" s="25" t="n">
        <v>20</v>
      </c>
      <c r="F59" s="26" t="n">
        <v>2</v>
      </c>
      <c r="G59" s="25">
        <f>E59*(1+F59/100)</f>
        <v/>
      </c>
      <c r="H59" s="8" t="n">
        <v>480000</v>
      </c>
      <c r="I59" s="8">
        <f>G59*H59</f>
        <v/>
      </c>
    </row>
    <row r="60">
      <c r="A60" s="20" t="n">
        <v>53</v>
      </c>
      <c r="B60" s="21" t="inlineStr">
        <is>
          <t>OCAM-SCHN-220</t>
        </is>
      </c>
      <c r="C60" s="21" t="inlineStr">
        <is>
          <t>O cam Schneider - Tang 3</t>
        </is>
      </c>
      <c r="D60" s="20" t="inlineStr">
        <is>
          <t>cai</t>
        </is>
      </c>
      <c r="E60" s="22" t="n">
        <v>9.6</v>
      </c>
      <c r="F60" s="23" t="n">
        <v>2</v>
      </c>
      <c r="G60" s="22">
        <f>E60*(1+F60/100)</f>
        <v/>
      </c>
      <c r="H60" s="24" t="n">
        <v>285000</v>
      </c>
      <c r="I60" s="24">
        <f>G60*H60</f>
        <v/>
      </c>
    </row>
    <row r="61">
      <c r="A61" s="5" t="n">
        <v>54</v>
      </c>
      <c r="B61" s="6" t="inlineStr">
        <is>
          <t>CONG-TAC-SCHN</t>
        </is>
      </c>
      <c r="C61" s="6" t="inlineStr">
        <is>
          <t>Cong tac - Tang 3</t>
        </is>
      </c>
      <c r="D61" s="5" t="inlineStr">
        <is>
          <t>cai</t>
        </is>
      </c>
      <c r="E61" s="25" t="n">
        <v>4.8</v>
      </c>
      <c r="F61" s="26" t="n">
        <v>2</v>
      </c>
      <c r="G61" s="25">
        <f>E61*(1+F61/100)</f>
        <v/>
      </c>
      <c r="H61" s="8" t="n">
        <v>195000</v>
      </c>
      <c r="I61" s="8">
        <f>G61*H61</f>
        <v/>
      </c>
    </row>
    <row r="62">
      <c r="A62" s="20" t="n">
        <v>55</v>
      </c>
      <c r="B62" s="21" t="inlineStr">
        <is>
          <t>DAY-CADIVI-2.5</t>
        </is>
      </c>
      <c r="C62" s="21" t="inlineStr">
        <is>
          <t>Day dien CV2.5 - Tang 3</t>
        </is>
      </c>
      <c r="D62" s="20" t="inlineStr">
        <is>
          <t>m</t>
        </is>
      </c>
      <c r="E62" s="22" t="n">
        <v>320</v>
      </c>
      <c r="F62" s="23" t="n">
        <v>7</v>
      </c>
      <c r="G62" s="22">
        <f>E62*(1+F62/100)</f>
        <v/>
      </c>
      <c r="H62" s="24" t="n">
        <v>18500</v>
      </c>
      <c r="I62" s="24">
        <f>G62*H62</f>
        <v/>
      </c>
    </row>
    <row r="63">
      <c r="A63" s="5" t="n">
        <v>56</v>
      </c>
      <c r="B63" s="6" t="inlineStr">
        <is>
          <t>DAY-CADIVI-4.0</t>
        </is>
      </c>
      <c r="C63" s="6" t="inlineStr">
        <is>
          <t>Day dien CV4.0 truc dung - Tang 3</t>
        </is>
      </c>
      <c r="D63" s="5" t="inlineStr">
        <is>
          <t>m</t>
        </is>
      </c>
      <c r="E63" s="25" t="n">
        <v>64</v>
      </c>
      <c r="F63" s="26" t="n">
        <v>7</v>
      </c>
      <c r="G63" s="25">
        <f>E63*(1+F63/100)</f>
        <v/>
      </c>
      <c r="H63" s="8" t="n">
        <v>28500</v>
      </c>
      <c r="I63" s="8">
        <f>G63*H63</f>
        <v/>
      </c>
    </row>
    <row r="64">
      <c r="A64" s="20" t="n">
        <v>57</v>
      </c>
      <c r="B64" s="21" t="inlineStr">
        <is>
          <t>ONG-PVC-D27</t>
        </is>
      </c>
      <c r="C64" s="21" t="inlineStr">
        <is>
          <t>Ong dien PVC - Tang 3</t>
        </is>
      </c>
      <c r="D64" s="20" t="inlineStr">
        <is>
          <t>m</t>
        </is>
      </c>
      <c r="E64" s="22" t="n">
        <v>240</v>
      </c>
      <c r="F64" s="23" t="n">
        <v>10</v>
      </c>
      <c r="G64" s="22">
        <f>E64*(1+F64/100)</f>
        <v/>
      </c>
      <c r="H64" s="24" t="n">
        <v>12500</v>
      </c>
      <c r="I64" s="24">
        <f>G64*H64</f>
        <v/>
      </c>
    </row>
    <row r="65">
      <c r="A65" s="5" t="n">
        <v>58</v>
      </c>
      <c r="B65" s="6" t="inlineStr">
        <is>
          <t>ONG-NUOC-PPR-25</t>
        </is>
      </c>
      <c r="C65" s="6" t="inlineStr">
        <is>
          <t>Ong nuoc nong PPR25 - Tang 3</t>
        </is>
      </c>
      <c r="D65" s="5" t="inlineStr">
        <is>
          <t>m</t>
        </is>
      </c>
      <c r="E65" s="25" t="n">
        <v>48</v>
      </c>
      <c r="F65" s="26" t="n">
        <v>10</v>
      </c>
      <c r="G65" s="25">
        <f>E65*(1+F65/100)</f>
        <v/>
      </c>
      <c r="H65" s="8" t="n">
        <v>32500</v>
      </c>
      <c r="I65" s="8">
        <f>G65*H65</f>
        <v/>
      </c>
    </row>
    <row r="66">
      <c r="A66" s="20" t="n">
        <v>59</v>
      </c>
      <c r="B66" s="21" t="inlineStr">
        <is>
          <t>ONG-NUOC-PVC-110</t>
        </is>
      </c>
      <c r="C66" s="21" t="inlineStr">
        <is>
          <t>Ong thoat PVC110 - Tang 3</t>
        </is>
      </c>
      <c r="D66" s="20" t="inlineStr">
        <is>
          <t>m</t>
        </is>
      </c>
      <c r="E66" s="22" t="n">
        <v>24</v>
      </c>
      <c r="F66" s="23" t="n">
        <v>10</v>
      </c>
      <c r="G66" s="22">
        <f>E66*(1+F66/100)</f>
        <v/>
      </c>
      <c r="H66" s="24" t="n">
        <v>65000</v>
      </c>
      <c r="I66" s="24">
        <f>G66*H66</f>
        <v/>
      </c>
    </row>
    <row r="67">
      <c r="A67" s="5" t="n">
        <v>60</v>
      </c>
      <c r="B67" s="6" t="inlineStr">
        <is>
          <t>DIEU-HOA-DAIKIN-12K</t>
        </is>
      </c>
      <c r="C67" s="6" t="inlineStr">
        <is>
          <t>Dieu hoa 12K - Tang 3</t>
        </is>
      </c>
      <c r="D67" s="5" t="inlineStr">
        <is>
          <t>bo</t>
        </is>
      </c>
      <c r="E67" s="25" t="n">
        <v>3</v>
      </c>
      <c r="F67" s="26" t="n">
        <v>0</v>
      </c>
      <c r="G67" s="25">
        <f>E67*(1+F67/100)</f>
        <v/>
      </c>
      <c r="H67" s="8" t="n">
        <v>18500000</v>
      </c>
      <c r="I67" s="8">
        <f>G67*H67</f>
        <v/>
      </c>
    </row>
    <row r="68">
      <c r="A68" s="20" t="n">
        <v>61</v>
      </c>
      <c r="B68" s="21" t="inlineStr">
        <is>
          <t>BINH-NUOC-NONG</t>
        </is>
      </c>
      <c r="C68" s="21" t="inlineStr">
        <is>
          <t>Binh nong lanh - Tang 3</t>
        </is>
      </c>
      <c r="D68" s="20" t="inlineStr">
        <is>
          <t>cai</t>
        </is>
      </c>
      <c r="E68" s="22" t="n">
        <v>2</v>
      </c>
      <c r="F68" s="23" t="n">
        <v>0</v>
      </c>
      <c r="G68" s="22">
        <f>E68*(1+F68/100)</f>
        <v/>
      </c>
      <c r="H68" s="24" t="n">
        <v>4500000</v>
      </c>
      <c r="I68" s="24">
        <f>G68*H68</f>
        <v/>
      </c>
    </row>
    <row r="69">
      <c r="A69" s="5" t="n">
        <v>62</v>
      </c>
      <c r="B69" s="6" t="inlineStr">
        <is>
          <t>DEN-LED-DAY</t>
        </is>
      </c>
      <c r="C69" s="6" t="inlineStr">
        <is>
          <t>LED day haft tran - Tang 3</t>
        </is>
      </c>
      <c r="D69" s="5" t="inlineStr">
        <is>
          <t>m</t>
        </is>
      </c>
      <c r="E69" s="25" t="n">
        <v>40</v>
      </c>
      <c r="F69" s="26" t="n">
        <v>5</v>
      </c>
      <c r="G69" s="25">
        <f>E69*(1+F69/100)</f>
        <v/>
      </c>
      <c r="H69" s="8" t="n">
        <v>85000</v>
      </c>
      <c r="I69" s="8">
        <f>G69*H69</f>
        <v/>
      </c>
    </row>
    <row r="70">
      <c r="A70" s="20" t="n">
        <v>63</v>
      </c>
      <c r="B70" s="21" t="inlineStr">
        <is>
          <t>TU-DIEN-AT</t>
        </is>
      </c>
      <c r="C70" s="21" t="inlineStr">
        <is>
          <t>Tu dien tong + ATS</t>
        </is>
      </c>
      <c r="D70" s="20" t="inlineStr">
        <is>
          <t>cai</t>
        </is>
      </c>
      <c r="E70" s="22" t="n">
        <v>1</v>
      </c>
      <c r="F70" s="23" t="n">
        <v>0</v>
      </c>
      <c r="G70" s="22">
        <f>E70*(1+F70/100)</f>
        <v/>
      </c>
      <c r="H70" s="24" t="n">
        <v>6800000</v>
      </c>
      <c r="I70" s="24">
        <f>G70*H70</f>
        <v/>
      </c>
    </row>
    <row r="71">
      <c r="A71" s="15" t="inlineStr">
        <is>
          <t>CONG HOAN THIEN</t>
        </is>
      </c>
      <c r="B71" s="11" t="n"/>
      <c r="C71" s="11" t="n"/>
      <c r="D71" s="11" t="n"/>
      <c r="E71" s="11" t="n"/>
      <c r="F71" s="11" t="n"/>
      <c r="G71" s="11" t="n"/>
      <c r="H71" s="11" t="n"/>
      <c r="I71" s="16">
        <f>SUM(I8:I70)</f>
        <v/>
      </c>
    </row>
  </sheetData>
  <mergeCells count="5">
    <mergeCell ref="A2:I2"/>
    <mergeCell ref="A5:I5"/>
    <mergeCell ref="A71:H71"/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8" customWidth="1" min="4" max="4"/>
    <col width="12" customWidth="1" min="5" max="5"/>
    <col width="11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BANG KHOI LUONG VA DU TOAN (BOQ)</t>
        </is>
      </c>
    </row>
    <row r="2">
      <c r="A2" s="2" t="inlineStr">
        <is>
          <t>Du an: Nha pho 3 tang 80m²  |  Ma: VCT-TEST-HOUSE-001</t>
        </is>
      </c>
    </row>
    <row r="3">
      <c r="A3" s="3" t="inlineStr">
        <is>
          <t>Dien tich san: 240.00 m²  |  So tang: 3  |  Phong cach: modern  |  Lap: 03/05/2026</t>
        </is>
      </c>
    </row>
    <row r="5">
      <c r="A5" s="19" t="inlineStr">
        <is>
          <t>Noi that</t>
        </is>
      </c>
    </row>
    <row r="7">
      <c r="A7" s="4" t="inlineStr">
        <is>
          <t>STT</t>
        </is>
      </c>
      <c r="B7" s="4" t="inlineStr">
        <is>
          <t>Ma</t>
        </is>
      </c>
      <c r="C7" s="4" t="inlineStr">
        <is>
          <t>Mo ta</t>
        </is>
      </c>
      <c r="D7" s="4" t="inlineStr">
        <is>
          <t>DVT</t>
        </is>
      </c>
      <c r="E7" s="4" t="inlineStr">
        <is>
          <t>KL</t>
        </is>
      </c>
      <c r="F7" s="4" t="inlineStr">
        <is>
          <t>Hao hut %</t>
        </is>
      </c>
      <c r="G7" s="4" t="inlineStr">
        <is>
          <t>KL du toan</t>
        </is>
      </c>
      <c r="H7" s="4" t="inlineStr">
        <is>
          <t>Don gia (VND)</t>
        </is>
      </c>
      <c r="I7" s="4" t="inlineStr">
        <is>
          <t>Thanh tien (VND)</t>
        </is>
      </c>
    </row>
    <row r="8">
      <c r="A8" s="20" t="n">
        <v>1</v>
      </c>
      <c r="B8" s="21" t="inlineStr">
        <is>
          <t>BON-CAU-INAX</t>
        </is>
      </c>
      <c r="C8" s="21" t="inlineStr">
        <is>
          <t>Bon cau Inax - Tang 1</t>
        </is>
      </c>
      <c r="D8" s="20" t="inlineStr">
        <is>
          <t>cai</t>
        </is>
      </c>
      <c r="E8" s="22" t="n">
        <v>2</v>
      </c>
      <c r="F8" s="23" t="n">
        <v>0</v>
      </c>
      <c r="G8" s="22">
        <f>E8*(1+F8/100)</f>
        <v/>
      </c>
      <c r="H8" s="24" t="n">
        <v>8500000</v>
      </c>
      <c r="I8" s="24">
        <f>G8*H8</f>
        <v/>
      </c>
    </row>
    <row r="9">
      <c r="A9" s="5" t="n">
        <v>2</v>
      </c>
      <c r="B9" s="6" t="inlineStr">
        <is>
          <t>LAVABO-INAX</t>
        </is>
      </c>
      <c r="C9" s="6" t="inlineStr">
        <is>
          <t>Lavabo Inax - Tang 1</t>
        </is>
      </c>
      <c r="D9" s="5" t="inlineStr">
        <is>
          <t>bo</t>
        </is>
      </c>
      <c r="E9" s="25" t="n">
        <v>2</v>
      </c>
      <c r="F9" s="26" t="n">
        <v>0</v>
      </c>
      <c r="G9" s="25">
        <f>E9*(1+F9/100)</f>
        <v/>
      </c>
      <c r="H9" s="8" t="n">
        <v>6800000</v>
      </c>
      <c r="I9" s="8">
        <f>G9*H9</f>
        <v/>
      </c>
    </row>
    <row r="10">
      <c r="A10" s="20" t="n">
        <v>3</v>
      </c>
      <c r="B10" s="21" t="inlineStr">
        <is>
          <t>VOI-SEN-CAYTAM</t>
        </is>
      </c>
      <c r="C10" s="21" t="inlineStr">
        <is>
          <t>Voi sen TOTO - Tang 1</t>
        </is>
      </c>
      <c r="D10" s="20" t="inlineStr">
        <is>
          <t>bo</t>
        </is>
      </c>
      <c r="E10" s="22" t="n">
        <v>2</v>
      </c>
      <c r="F10" s="23" t="n">
        <v>0</v>
      </c>
      <c r="G10" s="22">
        <f>E10*(1+F10/100)</f>
        <v/>
      </c>
      <c r="H10" s="24" t="n">
        <v>5200000</v>
      </c>
      <c r="I10" s="24">
        <f>G10*H10</f>
        <v/>
      </c>
    </row>
    <row r="11">
      <c r="A11" s="5" t="n">
        <v>4</v>
      </c>
      <c r="B11" s="6" t="inlineStr">
        <is>
          <t>BON-CAU-INAX</t>
        </is>
      </c>
      <c r="C11" s="6" t="inlineStr">
        <is>
          <t>Bon cau Inax - Tang 2</t>
        </is>
      </c>
      <c r="D11" s="5" t="inlineStr">
        <is>
          <t>cai</t>
        </is>
      </c>
      <c r="E11" s="25" t="n">
        <v>2</v>
      </c>
      <c r="F11" s="26" t="n">
        <v>0</v>
      </c>
      <c r="G11" s="25">
        <f>E11*(1+F11/100)</f>
        <v/>
      </c>
      <c r="H11" s="8" t="n">
        <v>8500000</v>
      </c>
      <c r="I11" s="8">
        <f>G11*H11</f>
        <v/>
      </c>
    </row>
    <row r="12">
      <c r="A12" s="20" t="n">
        <v>5</v>
      </c>
      <c r="B12" s="21" t="inlineStr">
        <is>
          <t>LAVABO-INAX</t>
        </is>
      </c>
      <c r="C12" s="21" t="inlineStr">
        <is>
          <t>Lavabo Inax - Tang 2</t>
        </is>
      </c>
      <c r="D12" s="20" t="inlineStr">
        <is>
          <t>bo</t>
        </is>
      </c>
      <c r="E12" s="22" t="n">
        <v>2</v>
      </c>
      <c r="F12" s="23" t="n">
        <v>0</v>
      </c>
      <c r="G12" s="22">
        <f>E12*(1+F12/100)</f>
        <v/>
      </c>
      <c r="H12" s="24" t="n">
        <v>6800000</v>
      </c>
      <c r="I12" s="24">
        <f>G12*H12</f>
        <v/>
      </c>
    </row>
    <row r="13">
      <c r="A13" s="5" t="n">
        <v>6</v>
      </c>
      <c r="B13" s="6" t="inlineStr">
        <is>
          <t>VOI-SEN-CAYTAM</t>
        </is>
      </c>
      <c r="C13" s="6" t="inlineStr">
        <is>
          <t>Voi sen TOTO - Tang 2</t>
        </is>
      </c>
      <c r="D13" s="5" t="inlineStr">
        <is>
          <t>bo</t>
        </is>
      </c>
      <c r="E13" s="25" t="n">
        <v>2</v>
      </c>
      <c r="F13" s="26" t="n">
        <v>0</v>
      </c>
      <c r="G13" s="25">
        <f>E13*(1+F13/100)</f>
        <v/>
      </c>
      <c r="H13" s="8" t="n">
        <v>5200000</v>
      </c>
      <c r="I13" s="8">
        <f>G13*H13</f>
        <v/>
      </c>
    </row>
    <row r="14">
      <c r="A14" s="20" t="n">
        <v>7</v>
      </c>
      <c r="B14" s="21" t="inlineStr">
        <is>
          <t>BON-CAU-INAX</t>
        </is>
      </c>
      <c r="C14" s="21" t="inlineStr">
        <is>
          <t>Bon cau Inax - Tang 3</t>
        </is>
      </c>
      <c r="D14" s="20" t="inlineStr">
        <is>
          <t>cai</t>
        </is>
      </c>
      <c r="E14" s="22" t="n">
        <v>2</v>
      </c>
      <c r="F14" s="23" t="n">
        <v>0</v>
      </c>
      <c r="G14" s="22">
        <f>E14*(1+F14/100)</f>
        <v/>
      </c>
      <c r="H14" s="24" t="n">
        <v>8500000</v>
      </c>
      <c r="I14" s="24">
        <f>G14*H14</f>
        <v/>
      </c>
    </row>
    <row r="15">
      <c r="A15" s="5" t="n">
        <v>8</v>
      </c>
      <c r="B15" s="6" t="inlineStr">
        <is>
          <t>LAVABO-INAX</t>
        </is>
      </c>
      <c r="C15" s="6" t="inlineStr">
        <is>
          <t>Lavabo Inax - Tang 3</t>
        </is>
      </c>
      <c r="D15" s="5" t="inlineStr">
        <is>
          <t>bo</t>
        </is>
      </c>
      <c r="E15" s="25" t="n">
        <v>2</v>
      </c>
      <c r="F15" s="26" t="n">
        <v>0</v>
      </c>
      <c r="G15" s="25">
        <f>E15*(1+F15/100)</f>
        <v/>
      </c>
      <c r="H15" s="8" t="n">
        <v>6800000</v>
      </c>
      <c r="I15" s="8">
        <f>G15*H15</f>
        <v/>
      </c>
    </row>
    <row r="16">
      <c r="A16" s="20" t="n">
        <v>9</v>
      </c>
      <c r="B16" s="21" t="inlineStr">
        <is>
          <t>VOI-SEN-CAYTAM</t>
        </is>
      </c>
      <c r="C16" s="21" t="inlineStr">
        <is>
          <t>Voi sen TOTO - Tang 3</t>
        </is>
      </c>
      <c r="D16" s="20" t="inlineStr">
        <is>
          <t>bo</t>
        </is>
      </c>
      <c r="E16" s="22" t="n">
        <v>2</v>
      </c>
      <c r="F16" s="23" t="n">
        <v>0</v>
      </c>
      <c r="G16" s="22">
        <f>E16*(1+F16/100)</f>
        <v/>
      </c>
      <c r="H16" s="24" t="n">
        <v>5200000</v>
      </c>
      <c r="I16" s="24">
        <f>G16*H16</f>
        <v/>
      </c>
    </row>
    <row r="17">
      <c r="A17" s="5" t="n">
        <v>10</v>
      </c>
      <c r="B17" s="6" t="inlineStr">
        <is>
          <t>TU-BEP-CONGNGHIEP</t>
        </is>
      </c>
      <c r="C17" s="6" t="inlineStr">
        <is>
          <t>Tu bep An Cuong - Tang 1</t>
        </is>
      </c>
      <c r="D17" s="5" t="inlineStr">
        <is>
          <t>m</t>
        </is>
      </c>
      <c r="E17" s="25" t="n">
        <v>6</v>
      </c>
      <c r="F17" s="26" t="n">
        <v>3</v>
      </c>
      <c r="G17" s="25">
        <f>E17*(1+F17/100)</f>
        <v/>
      </c>
      <c r="H17" s="8" t="n">
        <v>8500000</v>
      </c>
      <c r="I17" s="8">
        <f>G17*H17</f>
        <v/>
      </c>
    </row>
    <row r="18">
      <c r="A18" s="20" t="n">
        <v>11</v>
      </c>
      <c r="B18" s="21" t="inlineStr">
        <is>
          <t>TU-AO-BUILDIN</t>
        </is>
      </c>
      <c r="C18" s="21" t="inlineStr">
        <is>
          <t>Tu ao build-in - Tang 1</t>
        </is>
      </c>
      <c r="D18" s="20" t="inlineStr">
        <is>
          <t>m2</t>
        </is>
      </c>
      <c r="E18" s="22" t="n">
        <v>12</v>
      </c>
      <c r="F18" s="23" t="n">
        <v>3</v>
      </c>
      <c r="G18" s="22">
        <f>E18*(1+F18/100)</f>
        <v/>
      </c>
      <c r="H18" s="24" t="n">
        <v>4800000</v>
      </c>
      <c r="I18" s="24">
        <f>G18*H18</f>
        <v/>
      </c>
    </row>
    <row r="19">
      <c r="A19" s="5" t="n">
        <v>12</v>
      </c>
      <c r="B19" s="6" t="inlineStr">
        <is>
          <t>GIUONG-NGU-CON</t>
        </is>
      </c>
      <c r="C19" s="6" t="inlineStr">
        <is>
          <t>Giuong - Tang 1</t>
        </is>
      </c>
      <c r="D19" s="5" t="inlineStr">
        <is>
          <t>bo</t>
        </is>
      </c>
      <c r="E19" s="25" t="n">
        <v>2</v>
      </c>
      <c r="F19" s="26" t="n">
        <v>0</v>
      </c>
      <c r="G19" s="25">
        <f>E19*(1+F19/100)</f>
        <v/>
      </c>
      <c r="H19" s="8" t="n">
        <v>12500000</v>
      </c>
      <c r="I19" s="8">
        <f>G19*H19</f>
        <v/>
      </c>
    </row>
    <row r="20">
      <c r="A20" s="20" t="n">
        <v>13</v>
      </c>
      <c r="B20" s="21" t="inlineStr">
        <is>
          <t>RIDEAUX-CAOCAP</t>
        </is>
      </c>
      <c r="C20" s="21" t="inlineStr">
        <is>
          <t>Rem cua - Tang 1</t>
        </is>
      </c>
      <c r="D20" s="20" t="inlineStr">
        <is>
          <t>m2</t>
        </is>
      </c>
      <c r="E20" s="22" t="n">
        <v>16</v>
      </c>
      <c r="F20" s="23" t="n">
        <v>10</v>
      </c>
      <c r="G20" s="22">
        <f>E20*(1+F20/100)</f>
        <v/>
      </c>
      <c r="H20" s="24" t="n">
        <v>850000</v>
      </c>
      <c r="I20" s="24">
        <f>G20*H20</f>
        <v/>
      </c>
    </row>
    <row r="21">
      <c r="A21" s="5" t="n">
        <v>14</v>
      </c>
      <c r="B21" s="6" t="inlineStr">
        <is>
          <t>TU-BEP-CONGNGHIEP</t>
        </is>
      </c>
      <c r="C21" s="6" t="inlineStr">
        <is>
          <t>Tu bep An Cuong - Tang 2</t>
        </is>
      </c>
      <c r="D21" s="5" t="inlineStr">
        <is>
          <t>m</t>
        </is>
      </c>
      <c r="E21" s="25" t="n">
        <v>4</v>
      </c>
      <c r="F21" s="26" t="n">
        <v>3</v>
      </c>
      <c r="G21" s="25">
        <f>E21*(1+F21/100)</f>
        <v/>
      </c>
      <c r="H21" s="8" t="n">
        <v>8500000</v>
      </c>
      <c r="I21" s="8">
        <f>G21*H21</f>
        <v/>
      </c>
    </row>
    <row r="22">
      <c r="A22" s="20" t="n">
        <v>15</v>
      </c>
      <c r="B22" s="21" t="inlineStr">
        <is>
          <t>TU-AO-BUILDIN</t>
        </is>
      </c>
      <c r="C22" s="21" t="inlineStr">
        <is>
          <t>Tu ao build-in - Tang 2</t>
        </is>
      </c>
      <c r="D22" s="20" t="inlineStr">
        <is>
          <t>m2</t>
        </is>
      </c>
      <c r="E22" s="22" t="n">
        <v>12</v>
      </c>
      <c r="F22" s="23" t="n">
        <v>3</v>
      </c>
      <c r="G22" s="22">
        <f>E22*(1+F22/100)</f>
        <v/>
      </c>
      <c r="H22" s="24" t="n">
        <v>4800000</v>
      </c>
      <c r="I22" s="24">
        <f>G22*H22</f>
        <v/>
      </c>
    </row>
    <row r="23">
      <c r="A23" s="5" t="n">
        <v>16</v>
      </c>
      <c r="B23" s="6" t="inlineStr">
        <is>
          <t>GIUONG-NGU-CON</t>
        </is>
      </c>
      <c r="C23" s="6" t="inlineStr">
        <is>
          <t>Giuong - Tang 2</t>
        </is>
      </c>
      <c r="D23" s="5" t="inlineStr">
        <is>
          <t>bo</t>
        </is>
      </c>
      <c r="E23" s="25" t="n">
        <v>2</v>
      </c>
      <c r="F23" s="26" t="n">
        <v>0</v>
      </c>
      <c r="G23" s="25">
        <f>E23*(1+F23/100)</f>
        <v/>
      </c>
      <c r="H23" s="8" t="n">
        <v>12500000</v>
      </c>
      <c r="I23" s="8">
        <f>G23*H23</f>
        <v/>
      </c>
    </row>
    <row r="24">
      <c r="A24" s="20" t="n">
        <v>17</v>
      </c>
      <c r="B24" s="21" t="inlineStr">
        <is>
          <t>RIDEAUX-CAOCAP</t>
        </is>
      </c>
      <c r="C24" s="21" t="inlineStr">
        <is>
          <t>Rem cua - Tang 2</t>
        </is>
      </c>
      <c r="D24" s="20" t="inlineStr">
        <is>
          <t>m2</t>
        </is>
      </c>
      <c r="E24" s="22" t="n">
        <v>16</v>
      </c>
      <c r="F24" s="23" t="n">
        <v>10</v>
      </c>
      <c r="G24" s="22">
        <f>E24*(1+F24/100)</f>
        <v/>
      </c>
      <c r="H24" s="24" t="n">
        <v>850000</v>
      </c>
      <c r="I24" s="24">
        <f>G24*H24</f>
        <v/>
      </c>
    </row>
    <row r="25">
      <c r="A25" s="5" t="n">
        <v>18</v>
      </c>
      <c r="B25" s="6" t="inlineStr">
        <is>
          <t>TU-BEP-CONGNGHIEP</t>
        </is>
      </c>
      <c r="C25" s="6" t="inlineStr">
        <is>
          <t>Tu bep An Cuong - Tang 3</t>
        </is>
      </c>
      <c r="D25" s="5" t="inlineStr">
        <is>
          <t>m</t>
        </is>
      </c>
      <c r="E25" s="25" t="n">
        <v>4</v>
      </c>
      <c r="F25" s="26" t="n">
        <v>3</v>
      </c>
      <c r="G25" s="25">
        <f>E25*(1+F25/100)</f>
        <v/>
      </c>
      <c r="H25" s="8" t="n">
        <v>8500000</v>
      </c>
      <c r="I25" s="8">
        <f>G25*H25</f>
        <v/>
      </c>
    </row>
    <row r="26">
      <c r="A26" s="20" t="n">
        <v>19</v>
      </c>
      <c r="B26" s="21" t="inlineStr">
        <is>
          <t>TU-AO-BUILDIN</t>
        </is>
      </c>
      <c r="C26" s="21" t="inlineStr">
        <is>
          <t>Tu ao build-in - Tang 3</t>
        </is>
      </c>
      <c r="D26" s="20" t="inlineStr">
        <is>
          <t>m2</t>
        </is>
      </c>
      <c r="E26" s="22" t="n">
        <v>12</v>
      </c>
      <c r="F26" s="23" t="n">
        <v>3</v>
      </c>
      <c r="G26" s="22">
        <f>E26*(1+F26/100)</f>
        <v/>
      </c>
      <c r="H26" s="24" t="n">
        <v>4800000</v>
      </c>
      <c r="I26" s="24">
        <f>G26*H26</f>
        <v/>
      </c>
    </row>
    <row r="27">
      <c r="A27" s="5" t="n">
        <v>20</v>
      </c>
      <c r="B27" s="6" t="inlineStr">
        <is>
          <t>GIUONG-NGU-MASTER</t>
        </is>
      </c>
      <c r="C27" s="6" t="inlineStr">
        <is>
          <t>Giuong - Tang 3</t>
        </is>
      </c>
      <c r="D27" s="5" t="inlineStr">
        <is>
          <t>bo</t>
        </is>
      </c>
      <c r="E27" s="25" t="n">
        <v>1</v>
      </c>
      <c r="F27" s="26" t="n">
        <v>0</v>
      </c>
      <c r="G27" s="25">
        <f>E27*(1+F27/100)</f>
        <v/>
      </c>
      <c r="H27" s="8" t="n">
        <v>28500000</v>
      </c>
      <c r="I27" s="8">
        <f>G27*H27</f>
        <v/>
      </c>
    </row>
    <row r="28">
      <c r="A28" s="20" t="n">
        <v>21</v>
      </c>
      <c r="B28" s="21" t="inlineStr">
        <is>
          <t>RIDEAUX-CAOCAP</t>
        </is>
      </c>
      <c r="C28" s="21" t="inlineStr">
        <is>
          <t>Rem cua - Tang 3</t>
        </is>
      </c>
      <c r="D28" s="20" t="inlineStr">
        <is>
          <t>m2</t>
        </is>
      </c>
      <c r="E28" s="22" t="n">
        <v>16</v>
      </c>
      <c r="F28" s="23" t="n">
        <v>10</v>
      </c>
      <c r="G28" s="22">
        <f>E28*(1+F28/100)</f>
        <v/>
      </c>
      <c r="H28" s="24" t="n">
        <v>850000</v>
      </c>
      <c r="I28" s="24">
        <f>G28*H28</f>
        <v/>
      </c>
    </row>
    <row r="29">
      <c r="A29" s="5" t="n">
        <v>22</v>
      </c>
      <c r="B29" s="6" t="inlineStr">
        <is>
          <t>BAN-AN-GOTU</t>
        </is>
      </c>
      <c r="C29" s="6" t="inlineStr">
        <is>
          <t>Ban an go xoan dao 6 cho - phong an</t>
        </is>
      </c>
      <c r="D29" s="5" t="inlineStr">
        <is>
          <t>bo</t>
        </is>
      </c>
      <c r="E29" s="25" t="n">
        <v>1</v>
      </c>
      <c r="F29" s="26" t="n">
        <v>0</v>
      </c>
      <c r="G29" s="25">
        <f>E29*(1+F29/100)</f>
        <v/>
      </c>
      <c r="H29" s="8" t="n">
        <v>18500000</v>
      </c>
      <c r="I29" s="8">
        <f>G29*H29</f>
        <v/>
      </c>
    </row>
    <row r="30">
      <c r="A30" s="20" t="n">
        <v>23</v>
      </c>
      <c r="B30" s="21" t="inlineStr">
        <is>
          <t>SOFA-DA-7CHO</t>
        </is>
      </c>
      <c r="C30" s="21" t="inlineStr">
        <is>
          <t>Sofa da bo Italy 7 cho - phong khach</t>
        </is>
      </c>
      <c r="D30" s="20" t="inlineStr">
        <is>
          <t>bo</t>
        </is>
      </c>
      <c r="E30" s="22" t="n">
        <v>1</v>
      </c>
      <c r="F30" s="23" t="n">
        <v>0</v>
      </c>
      <c r="G30" s="22">
        <f>E30*(1+F30/100)</f>
        <v/>
      </c>
      <c r="H30" s="24" t="n">
        <v>65000000</v>
      </c>
      <c r="I30" s="24">
        <f>G30*H30</f>
        <v/>
      </c>
    </row>
    <row r="31">
      <c r="A31" s="15" t="inlineStr">
        <is>
          <t>CONG NOI THAT</t>
        </is>
      </c>
      <c r="B31" s="11" t="n"/>
      <c r="C31" s="11" t="n"/>
      <c r="D31" s="11" t="n"/>
      <c r="E31" s="11" t="n"/>
      <c r="F31" s="11" t="n"/>
      <c r="G31" s="11" t="n"/>
      <c r="H31" s="11" t="n"/>
      <c r="I31" s="16">
        <f>SUM(I8:I30)</f>
        <v/>
      </c>
    </row>
  </sheetData>
  <mergeCells count="5">
    <mergeCell ref="A2:I2"/>
    <mergeCell ref="A5:I5"/>
    <mergeCell ref="A1:I1"/>
    <mergeCell ref="A3:I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2026-05-03T11:52:30Z</dcterms:created>
  <dcterms:modified xsi:type="dcterms:W3CDTF">2026-05-03T11:52:30Z</dcterms:modified>
</cp:coreProperties>
</file>