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Phan tho - Ket cau" sheetId="2" state="visible" r:id="rId2"/>
    <sheet name="Hoan thien" sheetId="3" state="visible" r:id="rId3"/>
    <sheet name="Noi th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\%"/>
    <numFmt numFmtId="165" formatCode="#,##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D2D2D"/>
      <sz val="16"/>
    </font>
    <font>
      <name val="Arial"/>
      <i val="1"/>
      <color rgb="006B5D52"/>
      <sz val="11"/>
    </font>
    <font>
      <name val="Arial"/>
      <color rgb="002D2D2D"/>
      <sz val="11"/>
    </font>
    <font>
      <name val="Arial"/>
      <b val="1"/>
      <color rgb="00FFFFFF"/>
      <sz val="12"/>
    </font>
    <font>
      <name val="Arial"/>
      <b val="1"/>
      <color rgb="002D2D2D"/>
      <sz val="11"/>
    </font>
    <font>
      <name val="Arial"/>
      <b val="1"/>
      <color rgb="009B2D5C"/>
      <sz val="12"/>
    </font>
  </fonts>
  <fills count="6">
    <fill>
      <patternFill/>
    </fill>
    <fill>
      <patternFill patternType="gray125"/>
    </fill>
    <fill>
      <patternFill patternType="solid">
        <fgColor rgb="00B76E79"/>
      </patternFill>
    </fill>
    <fill>
      <patternFill patternType="solid">
        <fgColor rgb="00F4D5CB"/>
      </patternFill>
    </fill>
    <fill>
      <patternFill patternType="solid">
        <fgColor rgb="00FFF4E6"/>
      </patternFill>
    </fill>
    <fill>
      <patternFill patternType="solid">
        <fgColor rgb="00FAF7F5"/>
      </patternFill>
    </fill>
  </fills>
  <borders count="3">
    <border>
      <left/>
      <right/>
      <top/>
      <bottom/>
      <diagonal/>
    </border>
    <border>
      <left style="thin">
        <color rgb="00C8B8AE"/>
      </left>
      <right style="thin">
        <color rgb="00C8B8AE"/>
      </right>
      <top style="medium">
        <color rgb="00B76E79"/>
      </top>
      <bottom style="medium">
        <color rgb="00B76E79"/>
      </bottom>
    </border>
    <border>
      <left style="thin">
        <color rgb="00C8B8AE"/>
      </left>
      <right style="thin">
        <color rgb="00C8B8AE"/>
      </right>
      <top style="thin">
        <color rgb="00C8B8AE"/>
      </top>
      <bottom style="thin">
        <color rgb="00C8B8A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 wrapText="1"/>
    </xf>
    <xf numFmtId="3" fontId="3" fillId="0" borderId="2" applyAlignment="1" pivotButton="0" quotePrefix="0" xfId="0">
      <alignment horizontal="right" vertical="center" wrapText="1"/>
    </xf>
    <xf numFmtId="164" fontId="3" fillId="0" borderId="2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5" fillId="3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6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165" fontId="3" fillId="5" borderId="2" applyAlignment="1" pivotButton="0" quotePrefix="0" xfId="0">
      <alignment horizontal="right" vertical="center" wrapText="1"/>
    </xf>
    <xf numFmtId="166" fontId="3" fillId="5" borderId="2" applyAlignment="1" pivotButton="0" quotePrefix="0" xfId="0">
      <alignment horizontal="right" vertical="center" wrapText="1"/>
    </xf>
    <xf numFmtId="3" fontId="3" fillId="5" borderId="2" applyAlignment="1" pivotButton="0" quotePrefix="0" xfId="0">
      <alignment horizontal="right" vertical="center" wrapText="1"/>
    </xf>
    <xf numFmtId="165" fontId="3" fillId="0" borderId="2" applyAlignment="1" pivotButton="0" quotePrefix="0" xfId="0">
      <alignment horizontal="right" vertical="center" wrapText="1"/>
    </xf>
    <xf numFmtId="166" fontId="3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BANG TONG HOP DU TOAN</t>
        </is>
      </c>
    </row>
    <row r="2">
      <c r="A2" s="2" t="inlineStr">
        <is>
          <t>Du an: Smoke test villa  |  Ma: NODE-BRIDGE-TEST</t>
        </is>
      </c>
    </row>
    <row r="3">
      <c r="A3" s="3" t="inlineStr">
        <is>
          <t>Dien tich san: 1224.72 m²   So tang: 3   Phong cach: luxury   Lap: 03/05/2026</t>
        </is>
      </c>
    </row>
    <row r="5">
      <c r="A5" s="4" t="inlineStr">
        <is>
          <t>STT</t>
        </is>
      </c>
      <c r="B5" s="4" t="inlineStr">
        <is>
          <t>Hang muc</t>
        </is>
      </c>
      <c r="C5" s="4" t="inlineStr">
        <is>
          <t>DVT</t>
        </is>
      </c>
      <c r="D5" s="4" t="inlineStr">
        <is>
          <t>Khoi luong items</t>
        </is>
      </c>
      <c r="E5" s="4" t="inlineStr">
        <is>
          <t>Thanh tien (VND)</t>
        </is>
      </c>
      <c r="F5" s="4" t="inlineStr">
        <is>
          <t>Ti le %</t>
        </is>
      </c>
    </row>
    <row r="6">
      <c r="A6" s="5" t="n">
        <v>1</v>
      </c>
      <c r="B6" s="6" t="inlineStr">
        <is>
          <t>Phan tho - Ket cau</t>
        </is>
      </c>
      <c r="C6" s="5" t="inlineStr">
        <is>
          <t>VND</t>
        </is>
      </c>
      <c r="D6" s="7" t="n">
        <v>26</v>
      </c>
      <c r="E6" s="8" t="n">
        <v>1346962445</v>
      </c>
      <c r="F6" s="9" t="n">
        <v>14.14178023393545</v>
      </c>
    </row>
    <row r="7">
      <c r="A7" s="5" t="n">
        <v>2</v>
      </c>
      <c r="B7" s="6" t="inlineStr">
        <is>
          <t>Hoan thien</t>
        </is>
      </c>
      <c r="C7" s="5" t="inlineStr">
        <is>
          <t>VND</t>
        </is>
      </c>
      <c r="D7" s="7" t="n">
        <v>221</v>
      </c>
      <c r="E7" s="8" t="n">
        <v>5288359058</v>
      </c>
      <c r="F7" s="9" t="n">
        <v>55.52256625564485</v>
      </c>
    </row>
    <row r="8">
      <c r="A8" s="5" t="n">
        <v>3</v>
      </c>
      <c r="B8" s="6" t="inlineStr">
        <is>
          <t>Noi that</t>
        </is>
      </c>
      <c r="C8" s="5" t="inlineStr">
        <is>
          <t>VND</t>
        </is>
      </c>
      <c r="D8" s="7" t="n">
        <v>73</v>
      </c>
      <c r="E8" s="8" t="n">
        <v>2889380640</v>
      </c>
      <c r="F8" s="9" t="n">
        <v>30.3356535104197</v>
      </c>
    </row>
    <row r="9">
      <c r="A9" s="10" t="inlineStr">
        <is>
          <t>CONG TRUC TIEP (A)</t>
        </is>
      </c>
      <c r="B9" s="11" t="n"/>
      <c r="C9" s="11" t="n"/>
      <c r="D9" s="11" t="n"/>
      <c r="E9" s="12" t="n">
        <v>9524702143</v>
      </c>
      <c r="F9" s="13" t="n">
        <v>100</v>
      </c>
    </row>
    <row r="11">
      <c r="A11" s="7" t="inlineStr">
        <is>
          <t>Quan ly phi 5% (B)</t>
        </is>
      </c>
      <c r="B11" s="14" t="n"/>
      <c r="C11" s="14" t="n"/>
      <c r="D11" s="14" t="n"/>
      <c r="E11" s="8" t="n">
        <v>476235107</v>
      </c>
      <c r="F11" s="9" t="n">
        <v>4.999999998425148</v>
      </c>
    </row>
    <row r="12">
      <c r="A12" s="7" t="inlineStr">
        <is>
          <t>Du phong 10% (C)</t>
        </is>
      </c>
      <c r="B12" s="14" t="n"/>
      <c r="C12" s="14" t="n"/>
      <c r="D12" s="14" t="n"/>
      <c r="E12" s="8" t="n">
        <v>952470214</v>
      </c>
      <c r="F12" s="9" t="n">
        <v>9.999999996850296</v>
      </c>
    </row>
    <row r="13">
      <c r="A13" s="7" t="inlineStr">
        <is>
          <t>Thue VAT 8% (D)</t>
        </is>
      </c>
      <c r="B13" s="14" t="n"/>
      <c r="C13" s="14" t="n"/>
      <c r="D13" s="14" t="n"/>
      <c r="E13" s="8" t="n">
        <v>761976171</v>
      </c>
      <c r="F13" s="9" t="n">
        <v>7.999999995380433</v>
      </c>
    </row>
    <row r="15">
      <c r="A15" s="15" t="inlineStr">
        <is>
          <t>TONG CONG (A+B+C+D)</t>
        </is>
      </c>
      <c r="E15" s="16" t="n">
        <v>11715383635</v>
      </c>
      <c r="F15" s="17" t="inlineStr"/>
    </row>
    <row r="17">
      <c r="A17" s="18" t="inlineStr">
        <is>
          <t>Ghi chu: Bao gia da bao gom hao hut chuan TT06/2021/TT-BXD. Don gia thi truong Q1-2026 HN/SG. Thoi han bao gia 30 ngay. Khong bao gom: thi cong nha tho, mong dac biet, dia chat phuc tap.</t>
        </is>
      </c>
    </row>
  </sheetData>
  <mergeCells count="9">
    <mergeCell ref="A2:F2"/>
    <mergeCell ref="A9:D9"/>
    <mergeCell ref="A12:D12"/>
    <mergeCell ref="A1:F1"/>
    <mergeCell ref="A15:D15"/>
    <mergeCell ref="A17:F17"/>
    <mergeCell ref="A11:D11"/>
    <mergeCell ref="A3:F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Smoke test villa  |  Ma: NODE-BRIDGE-TEST</t>
        </is>
      </c>
    </row>
    <row r="3">
      <c r="A3" s="3" t="inlineStr">
        <is>
          <t>Dien tich san: 1224.72 m²  |  So tang: 3  |  Phong cach: luxury  |  Lap: 03/05/2026</t>
        </is>
      </c>
    </row>
    <row r="5">
      <c r="A5" s="19" t="inlineStr">
        <is>
          <t>Phan tho - Ket cau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GACH-AAC-220</t>
        </is>
      </c>
      <c r="C8" s="21" t="inlineStr">
        <is>
          <t>Gach be tong khi chung ap AAC day 220mm - Tang 1</t>
        </is>
      </c>
      <c r="D8" s="20" t="inlineStr">
        <is>
          <t>m3</t>
        </is>
      </c>
      <c r="E8" s="22" t="n">
        <v>40.392</v>
      </c>
      <c r="F8" s="23" t="n">
        <v>5</v>
      </c>
      <c r="G8" s="22">
        <f>E8*(1+F8/100)</f>
        <v/>
      </c>
      <c r="H8" s="24" t="n">
        <v>1350000</v>
      </c>
      <c r="I8" s="24">
        <f>G8*H8</f>
        <v/>
      </c>
    </row>
    <row r="9">
      <c r="A9" s="5" t="n">
        <v>2</v>
      </c>
      <c r="B9" s="6" t="inlineStr">
        <is>
          <t>GACH-AAC-220</t>
        </is>
      </c>
      <c r="C9" s="6" t="inlineStr">
        <is>
          <t>Gach be tong khi chung ap AAC day 220mm - Tang 2</t>
        </is>
      </c>
      <c r="D9" s="5" t="inlineStr">
        <is>
          <t>m3</t>
        </is>
      </c>
      <c r="E9" s="25" t="n">
        <v>40.392</v>
      </c>
      <c r="F9" s="26" t="n">
        <v>5</v>
      </c>
      <c r="G9" s="25">
        <f>E9*(1+F9/100)</f>
        <v/>
      </c>
      <c r="H9" s="8" t="n">
        <v>1350000</v>
      </c>
      <c r="I9" s="8">
        <f>G9*H9</f>
        <v/>
      </c>
    </row>
    <row r="10">
      <c r="A10" s="20" t="n">
        <v>3</v>
      </c>
      <c r="B10" s="21" t="inlineStr">
        <is>
          <t>GACH-AAC-220</t>
        </is>
      </c>
      <c r="C10" s="21" t="inlineStr">
        <is>
          <t>Gach be tong khi chung ap AAC day 220mm - Tang 3</t>
        </is>
      </c>
      <c r="D10" s="20" t="inlineStr">
        <is>
          <t>m3</t>
        </is>
      </c>
      <c r="E10" s="22" t="n">
        <v>40.392</v>
      </c>
      <c r="F10" s="23" t="n">
        <v>5</v>
      </c>
      <c r="G10" s="22">
        <f>E10*(1+F10/100)</f>
        <v/>
      </c>
      <c r="H10" s="24" t="n">
        <v>1350000</v>
      </c>
      <c r="I10" s="24">
        <f>G10*H10</f>
        <v/>
      </c>
    </row>
    <row r="11">
      <c r="A11" s="5" t="n">
        <v>4</v>
      </c>
      <c r="B11" s="6" t="inlineStr">
        <is>
          <t>GACH-AAC-100</t>
        </is>
      </c>
      <c r="C11" s="6" t="inlineStr">
        <is>
          <t>Gach AAC day 100mm (vach ngan) - Tang 1</t>
        </is>
      </c>
      <c r="D11" s="5" t="inlineStr">
        <is>
          <t>m3</t>
        </is>
      </c>
      <c r="E11" s="25" t="n">
        <v>15.12</v>
      </c>
      <c r="F11" s="26" t="n">
        <v>5</v>
      </c>
      <c r="G11" s="25">
        <f>E11*(1+F11/100)</f>
        <v/>
      </c>
      <c r="H11" s="8" t="n">
        <v>1350000</v>
      </c>
      <c r="I11" s="8">
        <f>G11*H11</f>
        <v/>
      </c>
    </row>
    <row r="12">
      <c r="A12" s="20" t="n">
        <v>5</v>
      </c>
      <c r="B12" s="21" t="inlineStr">
        <is>
          <t>GACH-AAC-100</t>
        </is>
      </c>
      <c r="C12" s="21" t="inlineStr">
        <is>
          <t>Gach AAC day 100mm (vach ngan) - Tang 2</t>
        </is>
      </c>
      <c r="D12" s="20" t="inlineStr">
        <is>
          <t>m3</t>
        </is>
      </c>
      <c r="E12" s="22" t="n">
        <v>15.12</v>
      </c>
      <c r="F12" s="23" t="n">
        <v>5</v>
      </c>
      <c r="G12" s="22">
        <f>E12*(1+F12/100)</f>
        <v/>
      </c>
      <c r="H12" s="24" t="n">
        <v>1350000</v>
      </c>
      <c r="I12" s="24">
        <f>G12*H12</f>
        <v/>
      </c>
    </row>
    <row r="13">
      <c r="A13" s="5" t="n">
        <v>6</v>
      </c>
      <c r="B13" s="6" t="inlineStr">
        <is>
          <t>GACH-AAC-100</t>
        </is>
      </c>
      <c r="C13" s="6" t="inlineStr">
        <is>
          <t>Gach AAC day 100mm (vach ngan) - Tang 3</t>
        </is>
      </c>
      <c r="D13" s="5" t="inlineStr">
        <is>
          <t>m3</t>
        </is>
      </c>
      <c r="E13" s="25" t="n">
        <v>15.12</v>
      </c>
      <c r="F13" s="26" t="n">
        <v>5</v>
      </c>
      <c r="G13" s="25">
        <f>E13*(1+F13/100)</f>
        <v/>
      </c>
      <c r="H13" s="8" t="n">
        <v>1350000</v>
      </c>
      <c r="I13" s="8">
        <f>G13*H13</f>
        <v/>
      </c>
    </row>
    <row r="14">
      <c r="A14" s="20" t="n">
        <v>7</v>
      </c>
      <c r="B14" s="21" t="inlineStr">
        <is>
          <t>BTCT-B30</t>
        </is>
      </c>
      <c r="C14" s="21" t="inlineStr">
        <is>
          <t>Be tong cot thep B30 (M400) cho cot/dam chinh - Tang 1</t>
        </is>
      </c>
      <c r="D14" s="20" t="inlineStr">
        <is>
          <t>m3</t>
        </is>
      </c>
      <c r="E14" s="22" t="n">
        <v>4.2</v>
      </c>
      <c r="F14" s="23" t="n">
        <v>3</v>
      </c>
      <c r="G14" s="22">
        <f>E14*(1+F14/100)</f>
        <v/>
      </c>
      <c r="H14" s="24" t="n">
        <v>1820000</v>
      </c>
      <c r="I14" s="24">
        <f>G14*H14</f>
        <v/>
      </c>
    </row>
    <row r="15">
      <c r="A15" s="5" t="n">
        <v>8</v>
      </c>
      <c r="B15" s="6" t="inlineStr">
        <is>
          <t>BTCT-B30</t>
        </is>
      </c>
      <c r="C15" s="6" t="inlineStr">
        <is>
          <t>Be tong cot thep B30 (M400) cho cot/dam chinh - Tang 2</t>
        </is>
      </c>
      <c r="D15" s="5" t="inlineStr">
        <is>
          <t>m3</t>
        </is>
      </c>
      <c r="E15" s="25" t="n">
        <v>4.2</v>
      </c>
      <c r="F15" s="26" t="n">
        <v>3</v>
      </c>
      <c r="G15" s="25">
        <f>E15*(1+F15/100)</f>
        <v/>
      </c>
      <c r="H15" s="8" t="n">
        <v>1820000</v>
      </c>
      <c r="I15" s="8">
        <f>G15*H15</f>
        <v/>
      </c>
    </row>
    <row r="16">
      <c r="A16" s="20" t="n">
        <v>9</v>
      </c>
      <c r="B16" s="21" t="inlineStr">
        <is>
          <t>BTCT-B30</t>
        </is>
      </c>
      <c r="C16" s="21" t="inlineStr">
        <is>
          <t>Be tong cot thep B30 (M400) cho cot/dam chinh - Tang 3</t>
        </is>
      </c>
      <c r="D16" s="20" t="inlineStr">
        <is>
          <t>m3</t>
        </is>
      </c>
      <c r="E16" s="22" t="n">
        <v>4.2</v>
      </c>
      <c r="F16" s="23" t="n">
        <v>3</v>
      </c>
      <c r="G16" s="22">
        <f>E16*(1+F16/100)</f>
        <v/>
      </c>
      <c r="H16" s="24" t="n">
        <v>1820000</v>
      </c>
      <c r="I16" s="24">
        <f>G16*H16</f>
        <v/>
      </c>
    </row>
    <row r="17">
      <c r="A17" s="5" t="n">
        <v>10</v>
      </c>
      <c r="B17" s="6" t="inlineStr">
        <is>
          <t>BTCT-B25</t>
        </is>
      </c>
      <c r="C17" s="6" t="inlineStr">
        <is>
          <t>Be tong cot thep B25 (M350) tron san - Tang 1</t>
        </is>
      </c>
      <c r="D17" s="5" t="inlineStr">
        <is>
          <t>m3</t>
        </is>
      </c>
      <c r="E17" s="25" t="n">
        <v>8.976000000000001</v>
      </c>
      <c r="F17" s="26" t="n">
        <v>3</v>
      </c>
      <c r="G17" s="25">
        <f>E17*(1+F17/100)</f>
        <v/>
      </c>
      <c r="H17" s="8" t="n">
        <v>1650000</v>
      </c>
      <c r="I17" s="8">
        <f>G17*H17</f>
        <v/>
      </c>
    </row>
    <row r="18">
      <c r="A18" s="20" t="n">
        <v>11</v>
      </c>
      <c r="B18" s="21" t="inlineStr">
        <is>
          <t>BTCT-B25</t>
        </is>
      </c>
      <c r="C18" s="21" t="inlineStr">
        <is>
          <t>Be tong cot thep B25 (M350) tron san - Tang 2</t>
        </is>
      </c>
      <c r="D18" s="20" t="inlineStr">
        <is>
          <t>m3</t>
        </is>
      </c>
      <c r="E18" s="22" t="n">
        <v>8.976000000000001</v>
      </c>
      <c r="F18" s="23" t="n">
        <v>3</v>
      </c>
      <c r="G18" s="22">
        <f>E18*(1+F18/100)</f>
        <v/>
      </c>
      <c r="H18" s="24" t="n">
        <v>1650000</v>
      </c>
      <c r="I18" s="24">
        <f>G18*H18</f>
        <v/>
      </c>
    </row>
    <row r="19">
      <c r="A19" s="5" t="n">
        <v>12</v>
      </c>
      <c r="B19" s="6" t="inlineStr">
        <is>
          <t>BTCT-B25</t>
        </is>
      </c>
      <c r="C19" s="6" t="inlineStr">
        <is>
          <t>Be tong cot thep B25 (M350) tron san - Tang 3</t>
        </is>
      </c>
      <c r="D19" s="5" t="inlineStr">
        <is>
          <t>m3</t>
        </is>
      </c>
      <c r="E19" s="25" t="n">
        <v>8.976000000000001</v>
      </c>
      <c r="F19" s="26" t="n">
        <v>3</v>
      </c>
      <c r="G19" s="25">
        <f>E19*(1+F19/100)</f>
        <v/>
      </c>
      <c r="H19" s="8" t="n">
        <v>1650000</v>
      </c>
      <c r="I19" s="8">
        <f>G19*H19</f>
        <v/>
      </c>
    </row>
    <row r="20">
      <c r="A20" s="20" t="n">
        <v>13</v>
      </c>
      <c r="B20" s="21" t="inlineStr">
        <is>
          <t>BTCT-B25</t>
        </is>
      </c>
      <c r="C20" s="21" t="inlineStr">
        <is>
          <t>Be tong cot thep B25 (M350) tron san - Tang 1</t>
        </is>
      </c>
      <c r="D20" s="20" t="inlineStr">
        <is>
          <t>m3</t>
        </is>
      </c>
      <c r="E20" s="22" t="n">
        <v>42</v>
      </c>
      <c r="F20" s="23" t="n">
        <v>3</v>
      </c>
      <c r="G20" s="22">
        <f>E20*(1+F20/100)</f>
        <v/>
      </c>
      <c r="H20" s="24" t="n">
        <v>1650000</v>
      </c>
      <c r="I20" s="24">
        <f>G20*H20</f>
        <v/>
      </c>
    </row>
    <row r="21">
      <c r="A21" s="5" t="n">
        <v>14</v>
      </c>
      <c r="B21" s="6" t="inlineStr">
        <is>
          <t>BTCT-B25</t>
        </is>
      </c>
      <c r="C21" s="6" t="inlineStr">
        <is>
          <t>Be tong cot thep B25 (M350) tron san - Tang 2</t>
        </is>
      </c>
      <c r="D21" s="5" t="inlineStr">
        <is>
          <t>m3</t>
        </is>
      </c>
      <c r="E21" s="25" t="n">
        <v>42</v>
      </c>
      <c r="F21" s="26" t="n">
        <v>3</v>
      </c>
      <c r="G21" s="25">
        <f>E21*(1+F21/100)</f>
        <v/>
      </c>
      <c r="H21" s="8" t="n">
        <v>1650000</v>
      </c>
      <c r="I21" s="8">
        <f>G21*H21</f>
        <v/>
      </c>
    </row>
    <row r="22">
      <c r="A22" s="20" t="n">
        <v>15</v>
      </c>
      <c r="B22" s="21" t="inlineStr">
        <is>
          <t>BTCT-B25</t>
        </is>
      </c>
      <c r="C22" s="21" t="inlineStr">
        <is>
          <t>Be tong cot thep B25 (M350) tron san - Tang 3</t>
        </is>
      </c>
      <c r="D22" s="20" t="inlineStr">
        <is>
          <t>m3</t>
        </is>
      </c>
      <c r="E22" s="22" t="n">
        <v>42</v>
      </c>
      <c r="F22" s="23" t="n">
        <v>3</v>
      </c>
      <c r="G22" s="22">
        <f>E22*(1+F22/100)</f>
        <v/>
      </c>
      <c r="H22" s="24" t="n">
        <v>1650000</v>
      </c>
      <c r="I22" s="24">
        <f>G22*H22</f>
        <v/>
      </c>
    </row>
    <row r="23">
      <c r="A23" s="5" t="n">
        <v>16</v>
      </c>
      <c r="B23" s="6" t="inlineStr">
        <is>
          <t>MONG-COC-EP</t>
        </is>
      </c>
      <c r="C23" s="6" t="inlineStr">
        <is>
          <t>Coc be tong ep 250x250 (12-15m) - Tang 1</t>
        </is>
      </c>
      <c r="D23" s="5" t="inlineStr">
        <is>
          <t>m</t>
        </is>
      </c>
      <c r="E23" s="25" t="n">
        <v>50</v>
      </c>
      <c r="F23" s="26" t="n">
        <v>2</v>
      </c>
      <c r="G23" s="25">
        <f>E23*(1+F23/100)</f>
        <v/>
      </c>
      <c r="H23" s="8" t="n">
        <v>280000</v>
      </c>
      <c r="I23" s="8">
        <f>G23*H23</f>
        <v/>
      </c>
    </row>
    <row r="24">
      <c r="A24" s="20" t="n">
        <v>17</v>
      </c>
      <c r="B24" s="21" t="inlineStr">
        <is>
          <t>MONG-COC-EP</t>
        </is>
      </c>
      <c r="C24" s="21" t="inlineStr">
        <is>
          <t>Coc be tong ep 250x250 (12-15m) - Tang 2</t>
        </is>
      </c>
      <c r="D24" s="20" t="inlineStr">
        <is>
          <t>m</t>
        </is>
      </c>
      <c r="E24" s="22" t="n">
        <v>50</v>
      </c>
      <c r="F24" s="23" t="n">
        <v>2</v>
      </c>
      <c r="G24" s="22">
        <f>E24*(1+F24/100)</f>
        <v/>
      </c>
      <c r="H24" s="24" t="n">
        <v>280000</v>
      </c>
      <c r="I24" s="24">
        <f>G24*H24</f>
        <v/>
      </c>
    </row>
    <row r="25">
      <c r="A25" s="5" t="n">
        <v>18</v>
      </c>
      <c r="B25" s="6" t="inlineStr">
        <is>
          <t>MONG-COC-EP</t>
        </is>
      </c>
      <c r="C25" s="6" t="inlineStr">
        <is>
          <t>Coc be tong ep 250x250 (12-15m) - Tang 3</t>
        </is>
      </c>
      <c r="D25" s="5" t="inlineStr">
        <is>
          <t>m</t>
        </is>
      </c>
      <c r="E25" s="25" t="n">
        <v>50</v>
      </c>
      <c r="F25" s="26" t="n">
        <v>2</v>
      </c>
      <c r="G25" s="25">
        <f>E25*(1+F25/100)</f>
        <v/>
      </c>
      <c r="H25" s="8" t="n">
        <v>280000</v>
      </c>
      <c r="I25" s="8">
        <f>G25*H25</f>
        <v/>
      </c>
    </row>
    <row r="26">
      <c r="A26" s="20" t="n">
        <v>19</v>
      </c>
      <c r="B26" s="21" t="inlineStr">
        <is>
          <t>THEP-CB400</t>
        </is>
      </c>
      <c r="C26" s="21" t="inlineStr">
        <is>
          <t>Sat thep CB400-V D10-D32 (Hoa Phat) (sinh tu BTCT/tuong/son)</t>
        </is>
      </c>
      <c r="D26" s="20" t="inlineStr">
        <is>
          <t>kg</t>
        </is>
      </c>
      <c r="E26" s="22" t="n">
        <v>26788.32</v>
      </c>
      <c r="F26" s="23" t="n">
        <v>3</v>
      </c>
      <c r="G26" s="22">
        <f>E26*(1+F26/100)</f>
        <v/>
      </c>
      <c r="H26" s="24" t="n">
        <v>17000</v>
      </c>
      <c r="I26" s="24">
        <f>G26*H26</f>
        <v/>
      </c>
    </row>
    <row r="27">
      <c r="A27" s="5" t="n">
        <v>20</v>
      </c>
      <c r="B27" s="6" t="inlineStr">
        <is>
          <t>THEP-CB300</t>
        </is>
      </c>
      <c r="C27" s="6" t="inlineStr">
        <is>
          <t>Sat thep CB300-T D6-D8 (Vietnam Steel) (sinh tu BTCT/tuong/son)</t>
        </is>
      </c>
      <c r="D27" s="5" t="inlineStr">
        <is>
          <t>kg</t>
        </is>
      </c>
      <c r="E27" s="25" t="n">
        <v>5580.9</v>
      </c>
      <c r="F27" s="26" t="n">
        <v>3</v>
      </c>
      <c r="G27" s="25">
        <f>E27*(1+F27/100)</f>
        <v/>
      </c>
      <c r="H27" s="8" t="n">
        <v>15500</v>
      </c>
      <c r="I27" s="8">
        <f>G27*H27</f>
        <v/>
      </c>
    </row>
    <row r="28">
      <c r="A28" s="20" t="n">
        <v>21</v>
      </c>
      <c r="B28" s="21" t="inlineStr">
        <is>
          <t>VUA-XM-M75</t>
        </is>
      </c>
      <c r="C28" s="21" t="inlineStr">
        <is>
          <t>Vua xi mang M75 xay/trat (sinh tu BTCT/tuong/son) - Tang 1</t>
        </is>
      </c>
      <c r="D28" s="20" t="inlineStr">
        <is>
          <t>m3</t>
        </is>
      </c>
      <c r="E28" s="22" t="n">
        <v>4.795</v>
      </c>
      <c r="F28" s="23" t="n">
        <v>7</v>
      </c>
      <c r="G28" s="22">
        <f>E28*(1+F28/100)</f>
        <v/>
      </c>
      <c r="H28" s="24" t="n">
        <v>1280000</v>
      </c>
      <c r="I28" s="24">
        <f>G28*H28</f>
        <v/>
      </c>
    </row>
    <row r="29">
      <c r="A29" s="5" t="n">
        <v>22</v>
      </c>
      <c r="B29" s="6" t="inlineStr">
        <is>
          <t>VUA-XM-M75</t>
        </is>
      </c>
      <c r="C29" s="6" t="inlineStr">
        <is>
          <t>Vua xi mang M75 xay/trat (sinh tu BTCT/tuong/son) - Tang 2</t>
        </is>
      </c>
      <c r="D29" s="5" t="inlineStr">
        <is>
          <t>m3</t>
        </is>
      </c>
      <c r="E29" s="25" t="n">
        <v>4.795</v>
      </c>
      <c r="F29" s="26" t="n">
        <v>7</v>
      </c>
      <c r="G29" s="25">
        <f>E29*(1+F29/100)</f>
        <v/>
      </c>
      <c r="H29" s="8" t="n">
        <v>1280000</v>
      </c>
      <c r="I29" s="8">
        <f>G29*H29</f>
        <v/>
      </c>
    </row>
    <row r="30">
      <c r="A30" s="20" t="n">
        <v>23</v>
      </c>
      <c r="B30" s="21" t="inlineStr">
        <is>
          <t>VUA-XM-M75</t>
        </is>
      </c>
      <c r="C30" s="21" t="inlineStr">
        <is>
          <t>Vua xi mang M75 xay/trat (sinh tu BTCT/tuong/son) - Tang 3</t>
        </is>
      </c>
      <c r="D30" s="20" t="inlineStr">
        <is>
          <t>m3</t>
        </is>
      </c>
      <c r="E30" s="22" t="n">
        <v>4.795</v>
      </c>
      <c r="F30" s="23" t="n">
        <v>7</v>
      </c>
      <c r="G30" s="22">
        <f>E30*(1+F30/100)</f>
        <v/>
      </c>
      <c r="H30" s="24" t="n">
        <v>1280000</v>
      </c>
      <c r="I30" s="24">
        <f>G30*H30</f>
        <v/>
      </c>
    </row>
    <row r="31">
      <c r="A31" s="5" t="n">
        <v>24</v>
      </c>
      <c r="B31" s="6" t="inlineStr">
        <is>
          <t>XIMANG-PCB40</t>
        </is>
      </c>
      <c r="C31" s="6" t="inlineStr">
        <is>
          <t>Xi mang PCB40</t>
        </is>
      </c>
      <c r="D31" s="5" t="inlineStr">
        <is>
          <t>tan</t>
        </is>
      </c>
      <c r="E31" s="25" t="n">
        <v>73.483</v>
      </c>
      <c r="F31" s="26" t="n">
        <v>3</v>
      </c>
      <c r="G31" s="25">
        <f>E31*(1+F31/100)</f>
        <v/>
      </c>
      <c r="H31" s="8" t="n">
        <v>1650000</v>
      </c>
      <c r="I31" s="8">
        <f>G31*H31</f>
        <v/>
      </c>
    </row>
    <row r="32">
      <c r="A32" s="20" t="n">
        <v>25</v>
      </c>
      <c r="B32" s="21" t="inlineStr">
        <is>
          <t>CAT-VANG</t>
        </is>
      </c>
      <c r="C32" s="21" t="inlineStr">
        <is>
          <t>Cat vang xay tat</t>
        </is>
      </c>
      <c r="D32" s="20" t="inlineStr">
        <is>
          <t>m3</t>
        </is>
      </c>
      <c r="E32" s="22" t="n">
        <v>122.472</v>
      </c>
      <c r="F32" s="23" t="n">
        <v>5</v>
      </c>
      <c r="G32" s="22">
        <f>E32*(1+F32/100)</f>
        <v/>
      </c>
      <c r="H32" s="24" t="n">
        <v>380000</v>
      </c>
      <c r="I32" s="24">
        <f>G32*H32</f>
        <v/>
      </c>
    </row>
    <row r="33">
      <c r="A33" s="5" t="n">
        <v>26</v>
      </c>
      <c r="B33" s="6" t="inlineStr">
        <is>
          <t>DA-1x2</t>
        </is>
      </c>
      <c r="C33" s="6" t="inlineStr">
        <is>
          <t>Da 1x2 do BTCT</t>
        </is>
      </c>
      <c r="D33" s="5" t="inlineStr">
        <is>
          <t>m3</t>
        </is>
      </c>
      <c r="E33" s="25" t="n">
        <v>97.97799999999999</v>
      </c>
      <c r="F33" s="26" t="n">
        <v>5</v>
      </c>
      <c r="G33" s="25">
        <f>E33*(1+F33/100)</f>
        <v/>
      </c>
      <c r="H33" s="8" t="n">
        <v>320000</v>
      </c>
      <c r="I33" s="8">
        <f>G33*H33</f>
        <v/>
      </c>
    </row>
    <row r="34">
      <c r="A34" s="15" t="inlineStr">
        <is>
          <t>CONG PHAN THO - KET CAU</t>
        </is>
      </c>
      <c r="B34" s="11" t="n"/>
      <c r="C34" s="11" t="n"/>
      <c r="D34" s="11" t="n"/>
      <c r="E34" s="11" t="n"/>
      <c r="F34" s="11" t="n"/>
      <c r="G34" s="11" t="n"/>
      <c r="H34" s="11" t="n"/>
      <c r="I34" s="16">
        <f>SUM(I8:I33)</f>
        <v/>
      </c>
    </row>
  </sheetData>
  <mergeCells count="5">
    <mergeCell ref="A2:I2"/>
    <mergeCell ref="A5:I5"/>
    <mergeCell ref="A1:I1"/>
    <mergeCell ref="A3:I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Smoke test villa  |  Ma: NODE-BRIDGE-TEST</t>
        </is>
      </c>
    </row>
    <row r="3">
      <c r="A3" s="3" t="inlineStr">
        <is>
          <t>Dien tich san: 1224.72 m²  |  So tang: 3  |  Phong cach: luxury  |  Lap: 03/05/2026</t>
        </is>
      </c>
    </row>
    <row r="5">
      <c r="A5" s="19" t="inlineStr">
        <is>
          <t>Hoan thien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CUA-NHOM-XINGFA</t>
        </is>
      </c>
      <c r="C8" s="21" t="inlineStr">
        <is>
          <t>Cua nhom Xingfa he 55 (kinh 6.38mm) - Tang 1</t>
        </is>
      </c>
      <c r="D8" s="20" t="inlineStr">
        <is>
          <t>m2</t>
        </is>
      </c>
      <c r="E8" s="22" t="n">
        <v>15.84</v>
      </c>
      <c r="F8" s="23" t="n">
        <v>5</v>
      </c>
      <c r="G8" s="22">
        <f>E8*(1+F8/100)</f>
        <v/>
      </c>
      <c r="H8" s="24" t="n">
        <v>2400000</v>
      </c>
      <c r="I8" s="24">
        <f>G8*H8</f>
        <v/>
      </c>
    </row>
    <row r="9">
      <c r="A9" s="5" t="n">
        <v>2</v>
      </c>
      <c r="B9" s="6" t="inlineStr">
        <is>
          <t>CUA-NHOM-XINGFA</t>
        </is>
      </c>
      <c r="C9" s="6" t="inlineStr">
        <is>
          <t>Cua nhom Xingfa he 55 (kinh 6.38mm) - Tang 2</t>
        </is>
      </c>
      <c r="D9" s="5" t="inlineStr">
        <is>
          <t>m2</t>
        </is>
      </c>
      <c r="E9" s="25" t="n">
        <v>15.84</v>
      </c>
      <c r="F9" s="26" t="n">
        <v>5</v>
      </c>
      <c r="G9" s="25">
        <f>E9*(1+F9/100)</f>
        <v/>
      </c>
      <c r="H9" s="8" t="n">
        <v>2400000</v>
      </c>
      <c r="I9" s="8">
        <f>G9*H9</f>
        <v/>
      </c>
    </row>
    <row r="10">
      <c r="A10" s="20" t="n">
        <v>3</v>
      </c>
      <c r="B10" s="21" t="inlineStr">
        <is>
          <t>CUA-NHOM-XINGFA</t>
        </is>
      </c>
      <c r="C10" s="21" t="inlineStr">
        <is>
          <t>Cua nhom Xingfa he 55 (kinh 6.38mm) - Tang 3</t>
        </is>
      </c>
      <c r="D10" s="20" t="inlineStr">
        <is>
          <t>m2</t>
        </is>
      </c>
      <c r="E10" s="22" t="n">
        <v>15.84</v>
      </c>
      <c r="F10" s="23" t="n">
        <v>5</v>
      </c>
      <c r="G10" s="22">
        <f>E10*(1+F10/100)</f>
        <v/>
      </c>
      <c r="H10" s="24" t="n">
        <v>2400000</v>
      </c>
      <c r="I10" s="24">
        <f>G10*H10</f>
        <v/>
      </c>
    </row>
    <row r="11">
      <c r="A11" s="5" t="n">
        <v>4</v>
      </c>
      <c r="B11" s="6" t="inlineStr">
        <is>
          <t>CUA-NHOM-XINGFA</t>
        </is>
      </c>
      <c r="C11" s="6" t="inlineStr">
        <is>
          <t>Cua nhom Xingfa he 55 (kinh 6.38mm) - Tang 1</t>
        </is>
      </c>
      <c r="D11" s="5" t="inlineStr">
        <is>
          <t>m2</t>
        </is>
      </c>
      <c r="E11" s="25" t="n">
        <v>20.16</v>
      </c>
      <c r="F11" s="26" t="n">
        <v>5</v>
      </c>
      <c r="G11" s="25">
        <f>E11*(1+F11/100)</f>
        <v/>
      </c>
      <c r="H11" s="8" t="n">
        <v>2400000</v>
      </c>
      <c r="I11" s="8">
        <f>G11*H11</f>
        <v/>
      </c>
    </row>
    <row r="12">
      <c r="A12" s="20" t="n">
        <v>5</v>
      </c>
      <c r="B12" s="21" t="inlineStr">
        <is>
          <t>CUA-NHOM-XINGFA</t>
        </is>
      </c>
      <c r="C12" s="21" t="inlineStr">
        <is>
          <t>Cua nhom Xingfa he 55 (kinh 6.38mm) - Tang 2</t>
        </is>
      </c>
      <c r="D12" s="20" t="inlineStr">
        <is>
          <t>m2</t>
        </is>
      </c>
      <c r="E12" s="22" t="n">
        <v>20.16</v>
      </c>
      <c r="F12" s="23" t="n">
        <v>5</v>
      </c>
      <c r="G12" s="22">
        <f>E12*(1+F12/100)</f>
        <v/>
      </c>
      <c r="H12" s="24" t="n">
        <v>2400000</v>
      </c>
      <c r="I12" s="24">
        <f>G12*H12</f>
        <v/>
      </c>
    </row>
    <row r="13">
      <c r="A13" s="5" t="n">
        <v>6</v>
      </c>
      <c r="B13" s="6" t="inlineStr">
        <is>
          <t>CUA-NHOM-XINGFA</t>
        </is>
      </c>
      <c r="C13" s="6" t="inlineStr">
        <is>
          <t>Cua nhom Xingfa he 55 (kinh 6.38mm) - Tang 3</t>
        </is>
      </c>
      <c r="D13" s="5" t="inlineStr">
        <is>
          <t>m2</t>
        </is>
      </c>
      <c r="E13" s="25" t="n">
        <v>20.16</v>
      </c>
      <c r="F13" s="26" t="n">
        <v>5</v>
      </c>
      <c r="G13" s="25">
        <f>E13*(1+F13/100)</f>
        <v/>
      </c>
      <c r="H13" s="8" t="n">
        <v>2400000</v>
      </c>
      <c r="I13" s="8">
        <f>G13*H13</f>
        <v/>
      </c>
    </row>
    <row r="14">
      <c r="A14" s="20" t="n">
        <v>7</v>
      </c>
      <c r="B14" s="21" t="inlineStr">
        <is>
          <t>DA-CARRARA-1.8</t>
        </is>
      </c>
      <c r="C14" s="21" t="inlineStr">
        <is>
          <t>Da Marble Carrara Italy day 18mm - Tang 1</t>
        </is>
      </c>
      <c r="D14" s="20" t="inlineStr">
        <is>
          <t>m2</t>
        </is>
      </c>
      <c r="E14" s="22" t="n">
        <v>92.48</v>
      </c>
      <c r="F14" s="23" t="n">
        <v>8</v>
      </c>
      <c r="G14" s="22">
        <f>E14*(1+F14/100)</f>
        <v/>
      </c>
      <c r="H14" s="24" t="n">
        <v>1200000</v>
      </c>
      <c r="I14" s="24">
        <f>G14*H14</f>
        <v/>
      </c>
    </row>
    <row r="15">
      <c r="A15" s="5" t="n">
        <v>8</v>
      </c>
      <c r="B15" s="6" t="inlineStr">
        <is>
          <t>DA-CARRARA-1.8</t>
        </is>
      </c>
      <c r="C15" s="6" t="inlineStr">
        <is>
          <t>Da Marble Carrara Italy day 18mm - Tang 2</t>
        </is>
      </c>
      <c r="D15" s="5" t="inlineStr">
        <is>
          <t>m2</t>
        </is>
      </c>
      <c r="E15" s="25" t="n">
        <v>92.48</v>
      </c>
      <c r="F15" s="26" t="n">
        <v>8</v>
      </c>
      <c r="G15" s="25">
        <f>E15*(1+F15/100)</f>
        <v/>
      </c>
      <c r="H15" s="8" t="n">
        <v>1200000</v>
      </c>
      <c r="I15" s="8">
        <f>G15*H15</f>
        <v/>
      </c>
    </row>
    <row r="16">
      <c r="A16" s="20" t="n">
        <v>9</v>
      </c>
      <c r="B16" s="21" t="inlineStr">
        <is>
          <t>DA-CARRARA-1.8</t>
        </is>
      </c>
      <c r="C16" s="21" t="inlineStr">
        <is>
          <t>Da Marble Carrara Italy day 18mm - Tang 3</t>
        </is>
      </c>
      <c r="D16" s="20" t="inlineStr">
        <is>
          <t>m2</t>
        </is>
      </c>
      <c r="E16" s="22" t="n">
        <v>92.48</v>
      </c>
      <c r="F16" s="23" t="n">
        <v>8</v>
      </c>
      <c r="G16" s="22">
        <f>E16*(1+F16/100)</f>
        <v/>
      </c>
      <c r="H16" s="24" t="n">
        <v>1200000</v>
      </c>
      <c r="I16" s="24">
        <f>G16*H16</f>
        <v/>
      </c>
    </row>
    <row r="17">
      <c r="A17" s="5" t="n">
        <v>10</v>
      </c>
      <c r="B17" s="6" t="inlineStr">
        <is>
          <t>SAN-GO-TEAK</t>
        </is>
      </c>
      <c r="C17" s="6" t="inlineStr">
        <is>
          <t>San go cong nghiep teak Indo (laminate AC4 12mm) - Tang 1</t>
        </is>
      </c>
      <c r="D17" s="5" t="inlineStr">
        <is>
          <t>m2</t>
        </is>
      </c>
      <c r="E17" s="25" t="n">
        <v>11.484</v>
      </c>
      <c r="F17" s="26" t="n">
        <v>5</v>
      </c>
      <c r="G17" s="25">
        <f>E17*(1+F17/100)</f>
        <v/>
      </c>
      <c r="H17" s="8" t="n">
        <v>580000</v>
      </c>
      <c r="I17" s="8">
        <f>G17*H17</f>
        <v/>
      </c>
    </row>
    <row r="18">
      <c r="A18" s="20" t="n">
        <v>11</v>
      </c>
      <c r="B18" s="21" t="inlineStr">
        <is>
          <t>SAN-GO-TEAK</t>
        </is>
      </c>
      <c r="C18" s="21" t="inlineStr">
        <is>
          <t>San go cong nghiep teak Indo (laminate AC4 12mm) - Tang 2</t>
        </is>
      </c>
      <c r="D18" s="20" t="inlineStr">
        <is>
          <t>m2</t>
        </is>
      </c>
      <c r="E18" s="22" t="n">
        <v>11.484</v>
      </c>
      <c r="F18" s="23" t="n">
        <v>5</v>
      </c>
      <c r="G18" s="22">
        <f>E18*(1+F18/100)</f>
        <v/>
      </c>
      <c r="H18" s="24" t="n">
        <v>580000</v>
      </c>
      <c r="I18" s="24">
        <f>G18*H18</f>
        <v/>
      </c>
    </row>
    <row r="19">
      <c r="A19" s="5" t="n">
        <v>12</v>
      </c>
      <c r="B19" s="6" t="inlineStr">
        <is>
          <t>SAN-GO-TEAK</t>
        </is>
      </c>
      <c r="C19" s="6" t="inlineStr">
        <is>
          <t>San go cong nghiep teak Indo (laminate AC4 12mm) - Tang 3</t>
        </is>
      </c>
      <c r="D19" s="5" t="inlineStr">
        <is>
          <t>m2</t>
        </is>
      </c>
      <c r="E19" s="25" t="n">
        <v>11.484</v>
      </c>
      <c r="F19" s="26" t="n">
        <v>5</v>
      </c>
      <c r="G19" s="25">
        <f>E19*(1+F19/100)</f>
        <v/>
      </c>
      <c r="H19" s="8" t="n">
        <v>580000</v>
      </c>
      <c r="I19" s="8">
        <f>G19*H19</f>
        <v/>
      </c>
    </row>
    <row r="20">
      <c r="A20" s="20" t="n">
        <v>13</v>
      </c>
      <c r="B20" s="21" t="inlineStr">
        <is>
          <t>GACH-LAT-DT-600</t>
        </is>
      </c>
      <c r="C20" s="21" t="inlineStr">
        <is>
          <t>Gach lat nen Dong Tam 600x600 men kho - Tang 1</t>
        </is>
      </c>
      <c r="D20" s="20" t="inlineStr">
        <is>
          <t>m2</t>
        </is>
      </c>
      <c r="E20" s="22" t="n">
        <v>7.752</v>
      </c>
      <c r="F20" s="23" t="n">
        <v>5</v>
      </c>
      <c r="G20" s="22">
        <f>E20*(1+F20/100)</f>
        <v/>
      </c>
      <c r="H20" s="24" t="n">
        <v>320000</v>
      </c>
      <c r="I20" s="24">
        <f>G20*H20</f>
        <v/>
      </c>
    </row>
    <row r="21">
      <c r="A21" s="5" t="n">
        <v>14</v>
      </c>
      <c r="B21" s="6" t="inlineStr">
        <is>
          <t>GACH-LAT-DT-600</t>
        </is>
      </c>
      <c r="C21" s="6" t="inlineStr">
        <is>
          <t>Gach lat nen Dong Tam 600x600 men kho - Tang 2</t>
        </is>
      </c>
      <c r="D21" s="5" t="inlineStr">
        <is>
          <t>m2</t>
        </is>
      </c>
      <c r="E21" s="25" t="n">
        <v>7.752</v>
      </c>
      <c r="F21" s="26" t="n">
        <v>5</v>
      </c>
      <c r="G21" s="25">
        <f>E21*(1+F21/100)</f>
        <v/>
      </c>
      <c r="H21" s="8" t="n">
        <v>320000</v>
      </c>
      <c r="I21" s="8">
        <f>G21*H21</f>
        <v/>
      </c>
    </row>
    <row r="22">
      <c r="A22" s="20" t="n">
        <v>15</v>
      </c>
      <c r="B22" s="21" t="inlineStr">
        <is>
          <t>GACH-LAT-DT-600</t>
        </is>
      </c>
      <c r="C22" s="21" t="inlineStr">
        <is>
          <t>Gach lat nen Dong Tam 600x600 men kho - Tang 3</t>
        </is>
      </c>
      <c r="D22" s="20" t="inlineStr">
        <is>
          <t>m2</t>
        </is>
      </c>
      <c r="E22" s="22" t="n">
        <v>7.752</v>
      </c>
      <c r="F22" s="23" t="n">
        <v>5</v>
      </c>
      <c r="G22" s="22">
        <f>E22*(1+F22/100)</f>
        <v/>
      </c>
      <c r="H22" s="24" t="n">
        <v>320000</v>
      </c>
      <c r="I22" s="24">
        <f>G22*H22</f>
        <v/>
      </c>
    </row>
    <row r="23">
      <c r="A23" s="5" t="n">
        <v>16</v>
      </c>
      <c r="B23" s="6" t="inlineStr">
        <is>
          <t>GACH-OP-WC-DT</t>
        </is>
      </c>
      <c r="C23" s="6" t="inlineStr">
        <is>
          <t>Gach op tuong WC Dong Tam 300x600 - Tang 1</t>
        </is>
      </c>
      <c r="D23" s="5" t="inlineStr">
        <is>
          <t>m2</t>
        </is>
      </c>
      <c r="E23" s="25" t="n">
        <v>10</v>
      </c>
      <c r="F23" s="26" t="n">
        <v>5</v>
      </c>
      <c r="G23" s="25">
        <f>E23*(1+F23/100)</f>
        <v/>
      </c>
      <c r="H23" s="8" t="n">
        <v>280000</v>
      </c>
      <c r="I23" s="8">
        <f>G23*H23</f>
        <v/>
      </c>
    </row>
    <row r="24">
      <c r="A24" s="20" t="n">
        <v>17</v>
      </c>
      <c r="B24" s="21" t="inlineStr">
        <is>
          <t>GACH-OP-WC-DT</t>
        </is>
      </c>
      <c r="C24" s="21" t="inlineStr">
        <is>
          <t>Gach op tuong WC Dong Tam 300x600 - Tang 2</t>
        </is>
      </c>
      <c r="D24" s="20" t="inlineStr">
        <is>
          <t>m2</t>
        </is>
      </c>
      <c r="E24" s="22" t="n">
        <v>10</v>
      </c>
      <c r="F24" s="23" t="n">
        <v>5</v>
      </c>
      <c r="G24" s="22">
        <f>E24*(1+F24/100)</f>
        <v/>
      </c>
      <c r="H24" s="24" t="n">
        <v>280000</v>
      </c>
      <c r="I24" s="24">
        <f>G24*H24</f>
        <v/>
      </c>
    </row>
    <row r="25">
      <c r="A25" s="5" t="n">
        <v>18</v>
      </c>
      <c r="B25" s="6" t="inlineStr">
        <is>
          <t>GACH-OP-WC-DT</t>
        </is>
      </c>
      <c r="C25" s="6" t="inlineStr">
        <is>
          <t>Gach op tuong WC Dong Tam 300x600 - Tang 3</t>
        </is>
      </c>
      <c r="D25" s="5" t="inlineStr">
        <is>
          <t>m2</t>
        </is>
      </c>
      <c r="E25" s="25" t="n">
        <v>10</v>
      </c>
      <c r="F25" s="26" t="n">
        <v>5</v>
      </c>
      <c r="G25" s="25">
        <f>E25*(1+F25/100)</f>
        <v/>
      </c>
      <c r="H25" s="8" t="n">
        <v>280000</v>
      </c>
      <c r="I25" s="8">
        <f>G25*H25</f>
        <v/>
      </c>
    </row>
    <row r="26">
      <c r="A26" s="20" t="n">
        <v>19</v>
      </c>
      <c r="B26" s="21" t="inlineStr">
        <is>
          <t>SON-DULUX-IN</t>
        </is>
      </c>
      <c r="C26" s="21" t="inlineStr">
        <is>
          <t>Son Dulux Easy Clean trong nha (lit) - Tang 1</t>
        </is>
      </c>
      <c r="D26" s="20" t="inlineStr">
        <is>
          <t>lit</t>
        </is>
      </c>
      <c r="E26" s="22" t="n">
        <v>40.392</v>
      </c>
      <c r="F26" s="23" t="n">
        <v>8</v>
      </c>
      <c r="G26" s="22">
        <f>E26*(1+F26/100)</f>
        <v/>
      </c>
      <c r="H26" s="24" t="n">
        <v>360000</v>
      </c>
      <c r="I26" s="24">
        <f>G26*H26</f>
        <v/>
      </c>
    </row>
    <row r="27">
      <c r="A27" s="5" t="n">
        <v>20</v>
      </c>
      <c r="B27" s="6" t="inlineStr">
        <is>
          <t>SON-DULUX-IN</t>
        </is>
      </c>
      <c r="C27" s="6" t="inlineStr">
        <is>
          <t>Son Dulux Easy Clean trong nha (lit) - Tang 2</t>
        </is>
      </c>
      <c r="D27" s="5" t="inlineStr">
        <is>
          <t>lit</t>
        </is>
      </c>
      <c r="E27" s="25" t="n">
        <v>40.392</v>
      </c>
      <c r="F27" s="26" t="n">
        <v>8</v>
      </c>
      <c r="G27" s="25">
        <f>E27*(1+F27/100)</f>
        <v/>
      </c>
      <c r="H27" s="8" t="n">
        <v>360000</v>
      </c>
      <c r="I27" s="8">
        <f>G27*H27</f>
        <v/>
      </c>
    </row>
    <row r="28">
      <c r="A28" s="20" t="n">
        <v>21</v>
      </c>
      <c r="B28" s="21" t="inlineStr">
        <is>
          <t>SON-DULUX-IN</t>
        </is>
      </c>
      <c r="C28" s="21" t="inlineStr">
        <is>
          <t>Son Dulux Easy Clean trong nha (lit) - Tang 3</t>
        </is>
      </c>
      <c r="D28" s="20" t="inlineStr">
        <is>
          <t>lit</t>
        </is>
      </c>
      <c r="E28" s="22" t="n">
        <v>40.392</v>
      </c>
      <c r="F28" s="23" t="n">
        <v>8</v>
      </c>
      <c r="G28" s="22">
        <f>E28*(1+F28/100)</f>
        <v/>
      </c>
      <c r="H28" s="24" t="n">
        <v>360000</v>
      </c>
      <c r="I28" s="24">
        <f>G28*H28</f>
        <v/>
      </c>
    </row>
    <row r="29">
      <c r="A29" s="5" t="n">
        <v>22</v>
      </c>
      <c r="B29" s="6" t="inlineStr">
        <is>
          <t>TRAN-THACH-CAO</t>
        </is>
      </c>
      <c r="C29" s="6" t="inlineStr">
        <is>
          <t>Tran thach cao chim Vinh Tuong + tam Gyproc - Tang 1</t>
        </is>
      </c>
      <c r="D29" s="5" t="inlineStr">
        <is>
          <t>m2</t>
        </is>
      </c>
      <c r="E29" s="25" t="n">
        <v>266.56</v>
      </c>
      <c r="F29" s="26" t="n">
        <v>6</v>
      </c>
      <c r="G29" s="25">
        <f>E29*(1+F29/100)</f>
        <v/>
      </c>
      <c r="H29" s="8" t="n">
        <v>320000</v>
      </c>
      <c r="I29" s="8">
        <f>G29*H29</f>
        <v/>
      </c>
    </row>
    <row r="30">
      <c r="A30" s="20" t="n">
        <v>23</v>
      </c>
      <c r="B30" s="21" t="inlineStr">
        <is>
          <t>TRAN-THACH-CAO</t>
        </is>
      </c>
      <c r="C30" s="21" t="inlineStr">
        <is>
          <t>Tran thach cao chim Vinh Tuong + tam Gyproc - Tang 2</t>
        </is>
      </c>
      <c r="D30" s="20" t="inlineStr">
        <is>
          <t>m2</t>
        </is>
      </c>
      <c r="E30" s="22" t="n">
        <v>266.56</v>
      </c>
      <c r="F30" s="23" t="n">
        <v>6</v>
      </c>
      <c r="G30" s="22">
        <f>E30*(1+F30/100)</f>
        <v/>
      </c>
      <c r="H30" s="24" t="n">
        <v>320000</v>
      </c>
      <c r="I30" s="24">
        <f>G30*H30</f>
        <v/>
      </c>
    </row>
    <row r="31">
      <c r="A31" s="5" t="n">
        <v>24</v>
      </c>
      <c r="B31" s="6" t="inlineStr">
        <is>
          <t>TRAN-THACH-CAO</t>
        </is>
      </c>
      <c r="C31" s="6" t="inlineStr">
        <is>
          <t>Tran thach cao chim Vinh Tuong + tam Gyproc - Tang 3</t>
        </is>
      </c>
      <c r="D31" s="5" t="inlineStr">
        <is>
          <t>m2</t>
        </is>
      </c>
      <c r="E31" s="25" t="n">
        <v>266.56</v>
      </c>
      <c r="F31" s="26" t="n">
        <v>6</v>
      </c>
      <c r="G31" s="25">
        <f>E31*(1+F31/100)</f>
        <v/>
      </c>
      <c r="H31" s="8" t="n">
        <v>320000</v>
      </c>
      <c r="I31" s="8">
        <f>G31*H31</f>
        <v/>
      </c>
    </row>
    <row r="32">
      <c r="A32" s="20" t="n">
        <v>25</v>
      </c>
      <c r="B32" s="21" t="inlineStr">
        <is>
          <t>LAN-CAN-INOX</t>
        </is>
      </c>
      <c r="C32" s="21" t="inlineStr">
        <is>
          <t>Lan can inox 304 + kinh cuong luc 10mm - Tang 1</t>
        </is>
      </c>
      <c r="D32" s="20" t="inlineStr">
        <is>
          <t>m</t>
        </is>
      </c>
      <c r="E32" s="22" t="n">
        <v>14</v>
      </c>
      <c r="F32" s="23" t="n">
        <v>5</v>
      </c>
      <c r="G32" s="22">
        <f>E32*(1+F32/100)</f>
        <v/>
      </c>
      <c r="H32" s="24" t="n">
        <v>1650000</v>
      </c>
      <c r="I32" s="24">
        <f>G32*H32</f>
        <v/>
      </c>
    </row>
    <row r="33">
      <c r="A33" s="5" t="n">
        <v>26</v>
      </c>
      <c r="B33" s="6" t="inlineStr">
        <is>
          <t>LAN-CAN-INOX</t>
        </is>
      </c>
      <c r="C33" s="6" t="inlineStr">
        <is>
          <t>Lan can inox 304 + kinh cuong luc 10mm - Tang 2</t>
        </is>
      </c>
      <c r="D33" s="5" t="inlineStr">
        <is>
          <t>m</t>
        </is>
      </c>
      <c r="E33" s="25" t="n">
        <v>14</v>
      </c>
      <c r="F33" s="26" t="n">
        <v>5</v>
      </c>
      <c r="G33" s="25">
        <f>E33*(1+F33/100)</f>
        <v/>
      </c>
      <c r="H33" s="8" t="n">
        <v>1650000</v>
      </c>
      <c r="I33" s="8">
        <f>G33*H33</f>
        <v/>
      </c>
    </row>
    <row r="34">
      <c r="A34" s="20" t="n">
        <v>27</v>
      </c>
      <c r="B34" s="21" t="inlineStr">
        <is>
          <t>LAN-CAN-INOX</t>
        </is>
      </c>
      <c r="C34" s="21" t="inlineStr">
        <is>
          <t>Lan can inox 304 + kinh cuong luc 10mm - Tang 3</t>
        </is>
      </c>
      <c r="D34" s="20" t="inlineStr">
        <is>
          <t>m</t>
        </is>
      </c>
      <c r="E34" s="22" t="n">
        <v>14</v>
      </c>
      <c r="F34" s="23" t="n">
        <v>5</v>
      </c>
      <c r="G34" s="22">
        <f>E34*(1+F34/100)</f>
        <v/>
      </c>
      <c r="H34" s="24" t="n">
        <v>1650000</v>
      </c>
      <c r="I34" s="24">
        <f>G34*H34</f>
        <v/>
      </c>
    </row>
    <row r="35">
      <c r="A35" s="5" t="n">
        <v>28</v>
      </c>
      <c r="B35" s="6" t="inlineStr">
        <is>
          <t>KINH-CL-8MM</t>
        </is>
      </c>
      <c r="C35" s="6" t="inlineStr">
        <is>
          <t>Kinh cuong luc 8mm (lan can/cua) - Tang 1</t>
        </is>
      </c>
      <c r="D35" s="5" t="inlineStr">
        <is>
          <t>m2</t>
        </is>
      </c>
      <c r="E35" s="25" t="n">
        <v>1</v>
      </c>
      <c r="F35" s="26" t="n">
        <v>7</v>
      </c>
      <c r="G35" s="25">
        <f>E35*(1+F35/100)</f>
        <v/>
      </c>
      <c r="H35" s="8" t="n">
        <v>850000</v>
      </c>
      <c r="I35" s="8">
        <f>G35*H35</f>
        <v/>
      </c>
    </row>
    <row r="36">
      <c r="A36" s="20" t="n">
        <v>29</v>
      </c>
      <c r="B36" s="21" t="inlineStr">
        <is>
          <t>KINH-CL-8MM</t>
        </is>
      </c>
      <c r="C36" s="21" t="inlineStr">
        <is>
          <t>Kinh cuong luc 8mm (lan can/cua) - Tang 2</t>
        </is>
      </c>
      <c r="D36" s="20" t="inlineStr">
        <is>
          <t>m2</t>
        </is>
      </c>
      <c r="E36" s="22" t="n">
        <v>1</v>
      </c>
      <c r="F36" s="23" t="n">
        <v>7</v>
      </c>
      <c r="G36" s="22">
        <f>E36*(1+F36/100)</f>
        <v/>
      </c>
      <c r="H36" s="24" t="n">
        <v>850000</v>
      </c>
      <c r="I36" s="24">
        <f>G36*H36</f>
        <v/>
      </c>
    </row>
    <row r="37">
      <c r="A37" s="5" t="n">
        <v>30</v>
      </c>
      <c r="B37" s="6" t="inlineStr">
        <is>
          <t>KINH-CL-8MM</t>
        </is>
      </c>
      <c r="C37" s="6" t="inlineStr">
        <is>
          <t>Kinh cuong luc 8mm (lan can/cua) - Tang 3</t>
        </is>
      </c>
      <c r="D37" s="5" t="inlineStr">
        <is>
          <t>m2</t>
        </is>
      </c>
      <c r="E37" s="25" t="n">
        <v>1</v>
      </c>
      <c r="F37" s="26" t="n">
        <v>7</v>
      </c>
      <c r="G37" s="25">
        <f>E37*(1+F37/100)</f>
        <v/>
      </c>
      <c r="H37" s="8" t="n">
        <v>850000</v>
      </c>
      <c r="I37" s="8">
        <f>G37*H37</f>
        <v/>
      </c>
    </row>
    <row r="38">
      <c r="A38" s="20" t="n">
        <v>31</v>
      </c>
      <c r="B38" s="21" t="inlineStr">
        <is>
          <t>SAN-GO-WALNUT</t>
        </is>
      </c>
      <c r="C38" s="21" t="inlineStr">
        <is>
          <t>San go walnut tu nhien - phong master</t>
        </is>
      </c>
      <c r="D38" s="20" t="inlineStr">
        <is>
          <t>m2</t>
        </is>
      </c>
      <c r="E38" s="22" t="n">
        <v>183.708</v>
      </c>
      <c r="F38" s="23" t="n">
        <v>5</v>
      </c>
      <c r="G38" s="22">
        <f>E38*(1+F38/100)</f>
        <v/>
      </c>
      <c r="H38" s="24" t="n">
        <v>1650000</v>
      </c>
      <c r="I38" s="24">
        <f>G38*H38</f>
        <v/>
      </c>
    </row>
    <row r="39">
      <c r="A39" s="5" t="n">
        <v>32</v>
      </c>
      <c r="B39" s="6" t="inlineStr">
        <is>
          <t>CHONG-THAM</t>
        </is>
      </c>
      <c r="C39" s="6" t="inlineStr">
        <is>
          <t>Chong tham WC + ban cong + mai</t>
        </is>
      </c>
      <c r="D39" s="5" t="inlineStr">
        <is>
          <t>m2</t>
        </is>
      </c>
      <c r="E39" s="25" t="n">
        <v>306.18</v>
      </c>
      <c r="F39" s="26" t="n">
        <v>10</v>
      </c>
      <c r="G39" s="25">
        <f>E39*(1+F39/100)</f>
        <v/>
      </c>
      <c r="H39" s="8" t="n">
        <v>220000</v>
      </c>
      <c r="I39" s="8">
        <f>G39*H39</f>
        <v/>
      </c>
    </row>
    <row r="40">
      <c r="A40" s="20" t="n">
        <v>33</v>
      </c>
      <c r="B40" s="21" t="inlineStr">
        <is>
          <t>MAI-NGOI</t>
        </is>
      </c>
      <c r="C40" s="21" t="inlineStr">
        <is>
          <t>Mai ngoi Viglacera + xa go</t>
        </is>
      </c>
      <c r="D40" s="20" t="inlineStr">
        <is>
          <t>m2</t>
        </is>
      </c>
      <c r="E40" s="22" t="n">
        <v>489.888</v>
      </c>
      <c r="F40" s="23" t="n">
        <v>7</v>
      </c>
      <c r="G40" s="22">
        <f>E40*(1+F40/100)</f>
        <v/>
      </c>
      <c r="H40" s="24" t="n">
        <v>850000</v>
      </c>
      <c r="I40" s="24">
        <f>G40*H40</f>
        <v/>
      </c>
    </row>
    <row r="41">
      <c r="A41" s="5" t="n">
        <v>34</v>
      </c>
      <c r="B41" s="6" t="inlineStr">
        <is>
          <t>LAN-CAN-INOX</t>
        </is>
      </c>
      <c r="C41" s="6" t="inlineStr">
        <is>
          <t>Lan can inox 304 + kinh</t>
        </is>
      </c>
      <c r="D41" s="5" t="inlineStr">
        <is>
          <t>m</t>
        </is>
      </c>
      <c r="E41" s="25" t="n">
        <v>183.708</v>
      </c>
      <c r="F41" s="26" t="n">
        <v>5</v>
      </c>
      <c r="G41" s="25">
        <f>E41*(1+F41/100)</f>
        <v/>
      </c>
      <c r="H41" s="8" t="n">
        <v>1650000</v>
      </c>
      <c r="I41" s="8">
        <f>G41*H41</f>
        <v/>
      </c>
    </row>
    <row r="42">
      <c r="A42" s="20" t="n">
        <v>35</v>
      </c>
      <c r="B42" s="21" t="inlineStr">
        <is>
          <t>KINH-HOPLOP</t>
        </is>
      </c>
      <c r="C42" s="21" t="inlineStr">
        <is>
          <t>Kinh hop cach am cua mat tien</t>
        </is>
      </c>
      <c r="D42" s="20" t="inlineStr">
        <is>
          <t>m2</t>
        </is>
      </c>
      <c r="E42" s="22" t="n">
        <v>122.472</v>
      </c>
      <c r="F42" s="23" t="n">
        <v>7</v>
      </c>
      <c r="G42" s="22">
        <f>E42*(1+F42/100)</f>
        <v/>
      </c>
      <c r="H42" s="24" t="n">
        <v>1250000</v>
      </c>
      <c r="I42" s="24">
        <f>G42*H42</f>
        <v/>
      </c>
    </row>
    <row r="43">
      <c r="A43" s="5" t="n">
        <v>36</v>
      </c>
      <c r="B43" s="6" t="inlineStr">
        <is>
          <t>DA-NHAN-TAO</t>
        </is>
      </c>
      <c r="C43" s="6" t="inlineStr">
        <is>
          <t>Da nhan tao Vicostone mat bep + lavabo</t>
        </is>
      </c>
      <c r="D43" s="5" t="inlineStr">
        <is>
          <t>m2</t>
        </is>
      </c>
      <c r="E43" s="25" t="n">
        <v>61.236</v>
      </c>
      <c r="F43" s="26" t="n">
        <v>8</v>
      </c>
      <c r="G43" s="25">
        <f>E43*(1+F43/100)</f>
        <v/>
      </c>
      <c r="H43" s="8" t="n">
        <v>1800000</v>
      </c>
      <c r="I43" s="8">
        <f>G43*H43</f>
        <v/>
      </c>
    </row>
    <row r="44">
      <c r="A44" s="20" t="n">
        <v>37</v>
      </c>
      <c r="B44" s="21" t="inlineStr">
        <is>
          <t>CUA-GO-TUNHIEN</t>
        </is>
      </c>
      <c r="C44" s="21" t="inlineStr">
        <is>
          <t>Cua go go do tu nhien - phong master</t>
        </is>
      </c>
      <c r="D44" s="20" t="inlineStr">
        <is>
          <t>m2</t>
        </is>
      </c>
      <c r="E44" s="22" t="n">
        <v>12</v>
      </c>
      <c r="F44" s="23" t="n">
        <v>4</v>
      </c>
      <c r="G44" s="22">
        <f>E44*(1+F44/100)</f>
        <v/>
      </c>
      <c r="H44" s="24" t="n">
        <v>6500000</v>
      </c>
      <c r="I44" s="24">
        <f>G44*H44</f>
        <v/>
      </c>
    </row>
    <row r="45">
      <c r="A45" s="5" t="n">
        <v>38</v>
      </c>
      <c r="B45" s="6" t="inlineStr">
        <is>
          <t>TRAN-XUYEN-SANG</t>
        </is>
      </c>
      <c r="C45" s="6" t="inlineStr">
        <is>
          <t>Tran xuyen sang Barrisol sanh</t>
        </is>
      </c>
      <c r="D45" s="5" t="inlineStr">
        <is>
          <t>m2</t>
        </is>
      </c>
      <c r="E45" s="25" t="n">
        <v>97.97799999999999</v>
      </c>
      <c r="F45" s="26" t="n">
        <v>5</v>
      </c>
      <c r="G45" s="25">
        <f>E45*(1+F45/100)</f>
        <v/>
      </c>
      <c r="H45" s="8" t="n">
        <v>1650000</v>
      </c>
      <c r="I45" s="8">
        <f>G45*H45</f>
        <v/>
      </c>
    </row>
    <row r="46">
      <c r="A46" s="20" t="n">
        <v>39</v>
      </c>
      <c r="B46" s="21" t="inlineStr">
        <is>
          <t>DEN-LED-PHILIPS-18W</t>
        </is>
      </c>
      <c r="C46" s="21" t="inlineStr">
        <is>
          <t>Den LED am tran Philips 18W trang am</t>
        </is>
      </c>
      <c r="D46" s="20" t="inlineStr">
        <is>
          <t>cai</t>
        </is>
      </c>
      <c r="E46" s="22" t="n">
        <v>1041.012</v>
      </c>
      <c r="F46" s="23" t="n">
        <v>2</v>
      </c>
      <c r="G46" s="22">
        <f>E46*(1+F46/100)</f>
        <v/>
      </c>
      <c r="H46" s="24" t="n">
        <v>480000</v>
      </c>
      <c r="I46" s="24">
        <f>G46*H46</f>
        <v/>
      </c>
    </row>
    <row r="47">
      <c r="A47" s="5" t="n">
        <v>40</v>
      </c>
      <c r="B47" s="6" t="inlineStr">
        <is>
          <t>OCAM-SCHN-220</t>
        </is>
      </c>
      <c r="C47" s="6" t="inlineStr">
        <is>
          <t>O cam Schneider 3 chau 220V chong giat</t>
        </is>
      </c>
      <c r="D47" s="5" t="inlineStr">
        <is>
          <t>cai</t>
        </is>
      </c>
      <c r="E47" s="25" t="n">
        <v>45</v>
      </c>
      <c r="F47" s="26" t="n">
        <v>2</v>
      </c>
      <c r="G47" s="25">
        <f>E47*(1+F47/100)</f>
        <v/>
      </c>
      <c r="H47" s="8" t="n">
        <v>285000</v>
      </c>
      <c r="I47" s="8">
        <f>G47*H47</f>
        <v/>
      </c>
    </row>
    <row r="48">
      <c r="A48" s="20" t="n">
        <v>41</v>
      </c>
      <c r="B48" s="21" t="inlineStr">
        <is>
          <t>CONG-TAC-SCHN</t>
        </is>
      </c>
      <c r="C48" s="21" t="inlineStr">
        <is>
          <t>Cong tac Schneider Concept 1-3 phim</t>
        </is>
      </c>
      <c r="D48" s="20" t="inlineStr">
        <is>
          <t>cai</t>
        </is>
      </c>
      <c r="E48" s="22" t="n">
        <v>30</v>
      </c>
      <c r="F48" s="23" t="n">
        <v>2</v>
      </c>
      <c r="G48" s="22">
        <f>E48*(1+F48/100)</f>
        <v/>
      </c>
      <c r="H48" s="24" t="n">
        <v>195000</v>
      </c>
      <c r="I48" s="24">
        <f>G48*H48</f>
        <v/>
      </c>
    </row>
    <row r="49">
      <c r="A49" s="5" t="n">
        <v>42</v>
      </c>
      <c r="B49" s="6" t="inlineStr">
        <is>
          <t>DIEU-HOA-DAIKIN-12K</t>
        </is>
      </c>
      <c r="C49" s="6" t="inlineStr">
        <is>
          <t>Dieu hoa Daikin Inverter 12000BTU + lap dat</t>
        </is>
      </c>
      <c r="D49" s="5" t="inlineStr">
        <is>
          <t>bo</t>
        </is>
      </c>
      <c r="E49" s="25" t="n">
        <v>15</v>
      </c>
      <c r="F49" s="26" t="n">
        <v>0</v>
      </c>
      <c r="G49" s="25">
        <f>E49*(1+F49/100)</f>
        <v/>
      </c>
      <c r="H49" s="8" t="n">
        <v>18500000</v>
      </c>
      <c r="I49" s="8">
        <f>G49*H49</f>
        <v/>
      </c>
    </row>
    <row r="50">
      <c r="A50" s="20" t="n">
        <v>43</v>
      </c>
      <c r="B50" s="21" t="inlineStr">
        <is>
          <t>DEN-LED-PHILIPS-18W</t>
        </is>
      </c>
      <c r="C50" s="21" t="inlineStr">
        <is>
          <t>Den LED am tran - Tang 1</t>
        </is>
      </c>
      <c r="D50" s="20" t="inlineStr">
        <is>
          <t>cai</t>
        </is>
      </c>
      <c r="E50" s="22" t="n">
        <v>102.06</v>
      </c>
      <c r="F50" s="23" t="n">
        <v>2</v>
      </c>
      <c r="G50" s="22">
        <f>E50*(1+F50/100)</f>
        <v/>
      </c>
      <c r="H50" s="24" t="n">
        <v>480000</v>
      </c>
      <c r="I50" s="24">
        <f>G50*H50</f>
        <v/>
      </c>
    </row>
    <row r="51">
      <c r="A51" s="5" t="n">
        <v>44</v>
      </c>
      <c r="B51" s="6" t="inlineStr">
        <is>
          <t>OCAM-SCHN-220</t>
        </is>
      </c>
      <c r="C51" s="6" t="inlineStr">
        <is>
          <t>O cam Schneider - Tang 1</t>
        </is>
      </c>
      <c r="D51" s="5" t="inlineStr">
        <is>
          <t>cai</t>
        </is>
      </c>
      <c r="E51" s="25" t="n">
        <v>48.989</v>
      </c>
      <c r="F51" s="26" t="n">
        <v>2</v>
      </c>
      <c r="G51" s="25">
        <f>E51*(1+F51/100)</f>
        <v/>
      </c>
      <c r="H51" s="8" t="n">
        <v>285000</v>
      </c>
      <c r="I51" s="8">
        <f>G51*H51</f>
        <v/>
      </c>
    </row>
    <row r="52">
      <c r="A52" s="20" t="n">
        <v>45</v>
      </c>
      <c r="B52" s="21" t="inlineStr">
        <is>
          <t>CONG-TAC-SCHN</t>
        </is>
      </c>
      <c r="C52" s="21" t="inlineStr">
        <is>
          <t>Cong tac - Tang 1</t>
        </is>
      </c>
      <c r="D52" s="20" t="inlineStr">
        <is>
          <t>cai</t>
        </is>
      </c>
      <c r="E52" s="22" t="n">
        <v>24.494</v>
      </c>
      <c r="F52" s="23" t="n">
        <v>2</v>
      </c>
      <c r="G52" s="22">
        <f>E52*(1+F52/100)</f>
        <v/>
      </c>
      <c r="H52" s="24" t="n">
        <v>195000</v>
      </c>
      <c r="I52" s="24">
        <f>G52*H52</f>
        <v/>
      </c>
    </row>
    <row r="53">
      <c r="A53" s="5" t="n">
        <v>46</v>
      </c>
      <c r="B53" s="6" t="inlineStr">
        <is>
          <t>DAY-CADIVI-2.5</t>
        </is>
      </c>
      <c r="C53" s="6" t="inlineStr">
        <is>
          <t>Day dien CV2.5 - Tang 1</t>
        </is>
      </c>
      <c r="D53" s="5" t="inlineStr">
        <is>
          <t>m</t>
        </is>
      </c>
      <c r="E53" s="25" t="n">
        <v>1632.96</v>
      </c>
      <c r="F53" s="26" t="n">
        <v>7</v>
      </c>
      <c r="G53" s="25">
        <f>E53*(1+F53/100)</f>
        <v/>
      </c>
      <c r="H53" s="8" t="n">
        <v>18500</v>
      </c>
      <c r="I53" s="8">
        <f>G53*H53</f>
        <v/>
      </c>
    </row>
    <row r="54">
      <c r="A54" s="20" t="n">
        <v>47</v>
      </c>
      <c r="B54" s="21" t="inlineStr">
        <is>
          <t>DAY-CADIVI-4.0</t>
        </is>
      </c>
      <c r="C54" s="21" t="inlineStr">
        <is>
          <t>Day dien CV4.0 truc dung - Tang 1</t>
        </is>
      </c>
      <c r="D54" s="20" t="inlineStr">
        <is>
          <t>m</t>
        </is>
      </c>
      <c r="E54" s="22" t="n">
        <v>326.592</v>
      </c>
      <c r="F54" s="23" t="n">
        <v>7</v>
      </c>
      <c r="G54" s="22">
        <f>E54*(1+F54/100)</f>
        <v/>
      </c>
      <c r="H54" s="24" t="n">
        <v>28500</v>
      </c>
      <c r="I54" s="24">
        <f>G54*H54</f>
        <v/>
      </c>
    </row>
    <row r="55">
      <c r="A55" s="5" t="n">
        <v>48</v>
      </c>
      <c r="B55" s="6" t="inlineStr">
        <is>
          <t>ONG-PVC-D27</t>
        </is>
      </c>
      <c r="C55" s="6" t="inlineStr">
        <is>
          <t>Ong dien PVC - Tang 1</t>
        </is>
      </c>
      <c r="D55" s="5" t="inlineStr">
        <is>
          <t>m</t>
        </is>
      </c>
      <c r="E55" s="25" t="n">
        <v>1224.72</v>
      </c>
      <c r="F55" s="26" t="n">
        <v>10</v>
      </c>
      <c r="G55" s="25">
        <f>E55*(1+F55/100)</f>
        <v/>
      </c>
      <c r="H55" s="8" t="n">
        <v>12500</v>
      </c>
      <c r="I55" s="8">
        <f>G55*H55</f>
        <v/>
      </c>
    </row>
    <row r="56">
      <c r="A56" s="20" t="n">
        <v>49</v>
      </c>
      <c r="B56" s="21" t="inlineStr">
        <is>
          <t>ONG-NUOC-PPR-25</t>
        </is>
      </c>
      <c r="C56" s="21" t="inlineStr">
        <is>
          <t>Ong nuoc nong PPR25 - Tang 1</t>
        </is>
      </c>
      <c r="D56" s="20" t="inlineStr">
        <is>
          <t>m</t>
        </is>
      </c>
      <c r="E56" s="22" t="n">
        <v>244.944</v>
      </c>
      <c r="F56" s="23" t="n">
        <v>10</v>
      </c>
      <c r="G56" s="22">
        <f>E56*(1+F56/100)</f>
        <v/>
      </c>
      <c r="H56" s="24" t="n">
        <v>32500</v>
      </c>
      <c r="I56" s="24">
        <f>G56*H56</f>
        <v/>
      </c>
    </row>
    <row r="57">
      <c r="A57" s="5" t="n">
        <v>50</v>
      </c>
      <c r="B57" s="6" t="inlineStr">
        <is>
          <t>ONG-NUOC-PVC-110</t>
        </is>
      </c>
      <c r="C57" s="6" t="inlineStr">
        <is>
          <t>Ong thoat PVC110 - Tang 1</t>
        </is>
      </c>
      <c r="D57" s="5" t="inlineStr">
        <is>
          <t>m</t>
        </is>
      </c>
      <c r="E57" s="25" t="n">
        <v>122.472</v>
      </c>
      <c r="F57" s="26" t="n">
        <v>10</v>
      </c>
      <c r="G57" s="25">
        <f>E57*(1+F57/100)</f>
        <v/>
      </c>
      <c r="H57" s="8" t="n">
        <v>65000</v>
      </c>
      <c r="I57" s="8">
        <f>G57*H57</f>
        <v/>
      </c>
    </row>
    <row r="58">
      <c r="A58" s="20" t="n">
        <v>51</v>
      </c>
      <c r="B58" s="21" t="inlineStr">
        <is>
          <t>DIEU-HOA-DAIKIN-12K</t>
        </is>
      </c>
      <c r="C58" s="21" t="inlineStr">
        <is>
          <t>Dieu hoa 12K - Tang 1</t>
        </is>
      </c>
      <c r="D58" s="20" t="inlineStr">
        <is>
          <t>bo</t>
        </is>
      </c>
      <c r="E58" s="22" t="n">
        <v>16</v>
      </c>
      <c r="F58" s="23" t="n">
        <v>0</v>
      </c>
      <c r="G58" s="22">
        <f>E58*(1+F58/100)</f>
        <v/>
      </c>
      <c r="H58" s="24" t="n">
        <v>18500000</v>
      </c>
      <c r="I58" s="24">
        <f>G58*H58</f>
        <v/>
      </c>
    </row>
    <row r="59">
      <c r="A59" s="5" t="n">
        <v>52</v>
      </c>
      <c r="B59" s="6" t="inlineStr">
        <is>
          <t>BINH-NUOC-NONG</t>
        </is>
      </c>
      <c r="C59" s="6" t="inlineStr">
        <is>
          <t>Binh nong lanh - Tang 1</t>
        </is>
      </c>
      <c r="D59" s="5" t="inlineStr">
        <is>
          <t>cai</t>
        </is>
      </c>
      <c r="E59" s="25" t="n">
        <v>8</v>
      </c>
      <c r="F59" s="26" t="n">
        <v>0</v>
      </c>
      <c r="G59" s="25">
        <f>E59*(1+F59/100)</f>
        <v/>
      </c>
      <c r="H59" s="8" t="n">
        <v>4500000</v>
      </c>
      <c r="I59" s="8">
        <f>G59*H59</f>
        <v/>
      </c>
    </row>
    <row r="60">
      <c r="A60" s="20" t="n">
        <v>53</v>
      </c>
      <c r="B60" s="21" t="inlineStr">
        <is>
          <t>DEN-LED-DAY</t>
        </is>
      </c>
      <c r="C60" s="21" t="inlineStr">
        <is>
          <t>LED day haft tran - Tang 1</t>
        </is>
      </c>
      <c r="D60" s="20" t="inlineStr">
        <is>
          <t>m</t>
        </is>
      </c>
      <c r="E60" s="22" t="n">
        <v>204.12</v>
      </c>
      <c r="F60" s="23" t="n">
        <v>5</v>
      </c>
      <c r="G60" s="22">
        <f>E60*(1+F60/100)</f>
        <v/>
      </c>
      <c r="H60" s="24" t="n">
        <v>85000</v>
      </c>
      <c r="I60" s="24">
        <f>G60*H60</f>
        <v/>
      </c>
    </row>
    <row r="61">
      <c r="A61" s="5" t="n">
        <v>54</v>
      </c>
      <c r="B61" s="6" t="inlineStr">
        <is>
          <t>DEN-LED-PHILIPS-18W</t>
        </is>
      </c>
      <c r="C61" s="6" t="inlineStr">
        <is>
          <t>Den LED am tran - Tang 2</t>
        </is>
      </c>
      <c r="D61" s="5" t="inlineStr">
        <is>
          <t>cai</t>
        </is>
      </c>
      <c r="E61" s="25" t="n">
        <v>102.06</v>
      </c>
      <c r="F61" s="26" t="n">
        <v>2</v>
      </c>
      <c r="G61" s="25">
        <f>E61*(1+F61/100)</f>
        <v/>
      </c>
      <c r="H61" s="8" t="n">
        <v>480000</v>
      </c>
      <c r="I61" s="8">
        <f>G61*H61</f>
        <v/>
      </c>
    </row>
    <row r="62">
      <c r="A62" s="20" t="n">
        <v>55</v>
      </c>
      <c r="B62" s="21" t="inlineStr">
        <is>
          <t>OCAM-SCHN-220</t>
        </is>
      </c>
      <c r="C62" s="21" t="inlineStr">
        <is>
          <t>O cam Schneider - Tang 2</t>
        </is>
      </c>
      <c r="D62" s="20" t="inlineStr">
        <is>
          <t>cai</t>
        </is>
      </c>
      <c r="E62" s="22" t="n">
        <v>48.989</v>
      </c>
      <c r="F62" s="23" t="n">
        <v>2</v>
      </c>
      <c r="G62" s="22">
        <f>E62*(1+F62/100)</f>
        <v/>
      </c>
      <c r="H62" s="24" t="n">
        <v>285000</v>
      </c>
      <c r="I62" s="24">
        <f>G62*H62</f>
        <v/>
      </c>
    </row>
    <row r="63">
      <c r="A63" s="5" t="n">
        <v>56</v>
      </c>
      <c r="B63" s="6" t="inlineStr">
        <is>
          <t>CONG-TAC-SCHN</t>
        </is>
      </c>
      <c r="C63" s="6" t="inlineStr">
        <is>
          <t>Cong tac - Tang 2</t>
        </is>
      </c>
      <c r="D63" s="5" t="inlineStr">
        <is>
          <t>cai</t>
        </is>
      </c>
      <c r="E63" s="25" t="n">
        <v>24.494</v>
      </c>
      <c r="F63" s="26" t="n">
        <v>2</v>
      </c>
      <c r="G63" s="25">
        <f>E63*(1+F63/100)</f>
        <v/>
      </c>
      <c r="H63" s="8" t="n">
        <v>195000</v>
      </c>
      <c r="I63" s="8">
        <f>G63*H63</f>
        <v/>
      </c>
    </row>
    <row r="64">
      <c r="A64" s="20" t="n">
        <v>57</v>
      </c>
      <c r="B64" s="21" t="inlineStr">
        <is>
          <t>DAY-CADIVI-2.5</t>
        </is>
      </c>
      <c r="C64" s="21" t="inlineStr">
        <is>
          <t>Day dien CV2.5 - Tang 2</t>
        </is>
      </c>
      <c r="D64" s="20" t="inlineStr">
        <is>
          <t>m</t>
        </is>
      </c>
      <c r="E64" s="22" t="n">
        <v>1632.96</v>
      </c>
      <c r="F64" s="23" t="n">
        <v>7</v>
      </c>
      <c r="G64" s="22">
        <f>E64*(1+F64/100)</f>
        <v/>
      </c>
      <c r="H64" s="24" t="n">
        <v>18500</v>
      </c>
      <c r="I64" s="24">
        <f>G64*H64</f>
        <v/>
      </c>
    </row>
    <row r="65">
      <c r="A65" s="5" t="n">
        <v>58</v>
      </c>
      <c r="B65" s="6" t="inlineStr">
        <is>
          <t>DAY-CADIVI-4.0</t>
        </is>
      </c>
      <c r="C65" s="6" t="inlineStr">
        <is>
          <t>Day dien CV4.0 truc dung - Tang 2</t>
        </is>
      </c>
      <c r="D65" s="5" t="inlineStr">
        <is>
          <t>m</t>
        </is>
      </c>
      <c r="E65" s="25" t="n">
        <v>326.592</v>
      </c>
      <c r="F65" s="26" t="n">
        <v>7</v>
      </c>
      <c r="G65" s="25">
        <f>E65*(1+F65/100)</f>
        <v/>
      </c>
      <c r="H65" s="8" t="n">
        <v>28500</v>
      </c>
      <c r="I65" s="8">
        <f>G65*H65</f>
        <v/>
      </c>
    </row>
    <row r="66">
      <c r="A66" s="20" t="n">
        <v>59</v>
      </c>
      <c r="B66" s="21" t="inlineStr">
        <is>
          <t>ONG-PVC-D27</t>
        </is>
      </c>
      <c r="C66" s="21" t="inlineStr">
        <is>
          <t>Ong dien PVC - Tang 2</t>
        </is>
      </c>
      <c r="D66" s="20" t="inlineStr">
        <is>
          <t>m</t>
        </is>
      </c>
      <c r="E66" s="22" t="n">
        <v>1224.72</v>
      </c>
      <c r="F66" s="23" t="n">
        <v>10</v>
      </c>
      <c r="G66" s="22">
        <f>E66*(1+F66/100)</f>
        <v/>
      </c>
      <c r="H66" s="24" t="n">
        <v>12500</v>
      </c>
      <c r="I66" s="24">
        <f>G66*H66</f>
        <v/>
      </c>
    </row>
    <row r="67">
      <c r="A67" s="5" t="n">
        <v>60</v>
      </c>
      <c r="B67" s="6" t="inlineStr">
        <is>
          <t>ONG-NUOC-PPR-25</t>
        </is>
      </c>
      <c r="C67" s="6" t="inlineStr">
        <is>
          <t>Ong nuoc nong PPR25 - Tang 2</t>
        </is>
      </c>
      <c r="D67" s="5" t="inlineStr">
        <is>
          <t>m</t>
        </is>
      </c>
      <c r="E67" s="25" t="n">
        <v>244.944</v>
      </c>
      <c r="F67" s="26" t="n">
        <v>10</v>
      </c>
      <c r="G67" s="25">
        <f>E67*(1+F67/100)</f>
        <v/>
      </c>
      <c r="H67" s="8" t="n">
        <v>32500</v>
      </c>
      <c r="I67" s="8">
        <f>G67*H67</f>
        <v/>
      </c>
    </row>
    <row r="68">
      <c r="A68" s="20" t="n">
        <v>61</v>
      </c>
      <c r="B68" s="21" t="inlineStr">
        <is>
          <t>ONG-NUOC-PVC-110</t>
        </is>
      </c>
      <c r="C68" s="21" t="inlineStr">
        <is>
          <t>Ong thoat PVC110 - Tang 2</t>
        </is>
      </c>
      <c r="D68" s="20" t="inlineStr">
        <is>
          <t>m</t>
        </is>
      </c>
      <c r="E68" s="22" t="n">
        <v>122.472</v>
      </c>
      <c r="F68" s="23" t="n">
        <v>10</v>
      </c>
      <c r="G68" s="22">
        <f>E68*(1+F68/100)</f>
        <v/>
      </c>
      <c r="H68" s="24" t="n">
        <v>65000</v>
      </c>
      <c r="I68" s="24">
        <f>G68*H68</f>
        <v/>
      </c>
    </row>
    <row r="69">
      <c r="A69" s="5" t="n">
        <v>62</v>
      </c>
      <c r="B69" s="6" t="inlineStr">
        <is>
          <t>DIEU-HOA-DAIKIN-12K</t>
        </is>
      </c>
      <c r="C69" s="6" t="inlineStr">
        <is>
          <t>Dieu hoa 12K - Tang 2</t>
        </is>
      </c>
      <c r="D69" s="5" t="inlineStr">
        <is>
          <t>bo</t>
        </is>
      </c>
      <c r="E69" s="25" t="n">
        <v>16</v>
      </c>
      <c r="F69" s="26" t="n">
        <v>0</v>
      </c>
      <c r="G69" s="25">
        <f>E69*(1+F69/100)</f>
        <v/>
      </c>
      <c r="H69" s="8" t="n">
        <v>18500000</v>
      </c>
      <c r="I69" s="8">
        <f>G69*H69</f>
        <v/>
      </c>
    </row>
    <row r="70">
      <c r="A70" s="20" t="n">
        <v>63</v>
      </c>
      <c r="B70" s="21" t="inlineStr">
        <is>
          <t>BINH-NUOC-NONG</t>
        </is>
      </c>
      <c r="C70" s="21" t="inlineStr">
        <is>
          <t>Binh nong lanh - Tang 2</t>
        </is>
      </c>
      <c r="D70" s="20" t="inlineStr">
        <is>
          <t>cai</t>
        </is>
      </c>
      <c r="E70" s="22" t="n">
        <v>8</v>
      </c>
      <c r="F70" s="23" t="n">
        <v>0</v>
      </c>
      <c r="G70" s="22">
        <f>E70*(1+F70/100)</f>
        <v/>
      </c>
      <c r="H70" s="24" t="n">
        <v>4500000</v>
      </c>
      <c r="I70" s="24">
        <f>G70*H70</f>
        <v/>
      </c>
    </row>
    <row r="71">
      <c r="A71" s="5" t="n">
        <v>64</v>
      </c>
      <c r="B71" s="6" t="inlineStr">
        <is>
          <t>DEN-LED-DAY</t>
        </is>
      </c>
      <c r="C71" s="6" t="inlineStr">
        <is>
          <t>LED day haft tran - Tang 2</t>
        </is>
      </c>
      <c r="D71" s="5" t="inlineStr">
        <is>
          <t>m</t>
        </is>
      </c>
      <c r="E71" s="25" t="n">
        <v>204.12</v>
      </c>
      <c r="F71" s="26" t="n">
        <v>5</v>
      </c>
      <c r="G71" s="25">
        <f>E71*(1+F71/100)</f>
        <v/>
      </c>
      <c r="H71" s="8" t="n">
        <v>85000</v>
      </c>
      <c r="I71" s="8">
        <f>G71*H71</f>
        <v/>
      </c>
    </row>
    <row r="72">
      <c r="A72" s="20" t="n">
        <v>65</v>
      </c>
      <c r="B72" s="21" t="inlineStr">
        <is>
          <t>DEN-LED-PHILIPS-18W</t>
        </is>
      </c>
      <c r="C72" s="21" t="inlineStr">
        <is>
          <t>Den LED am tran - Tang 3</t>
        </is>
      </c>
      <c r="D72" s="20" t="inlineStr">
        <is>
          <t>cai</t>
        </is>
      </c>
      <c r="E72" s="22" t="n">
        <v>102.06</v>
      </c>
      <c r="F72" s="23" t="n">
        <v>2</v>
      </c>
      <c r="G72" s="22">
        <f>E72*(1+F72/100)</f>
        <v/>
      </c>
      <c r="H72" s="24" t="n">
        <v>480000</v>
      </c>
      <c r="I72" s="24">
        <f>G72*H72</f>
        <v/>
      </c>
    </row>
    <row r="73">
      <c r="A73" s="5" t="n">
        <v>66</v>
      </c>
      <c r="B73" s="6" t="inlineStr">
        <is>
          <t>OCAM-SCHN-220</t>
        </is>
      </c>
      <c r="C73" s="6" t="inlineStr">
        <is>
          <t>O cam Schneider - Tang 3</t>
        </is>
      </c>
      <c r="D73" s="5" t="inlineStr">
        <is>
          <t>cai</t>
        </is>
      </c>
      <c r="E73" s="25" t="n">
        <v>48.989</v>
      </c>
      <c r="F73" s="26" t="n">
        <v>2</v>
      </c>
      <c r="G73" s="25">
        <f>E73*(1+F73/100)</f>
        <v/>
      </c>
      <c r="H73" s="8" t="n">
        <v>285000</v>
      </c>
      <c r="I73" s="8">
        <f>G73*H73</f>
        <v/>
      </c>
    </row>
    <row r="74">
      <c r="A74" s="20" t="n">
        <v>67</v>
      </c>
      <c r="B74" s="21" t="inlineStr">
        <is>
          <t>CONG-TAC-SCHN</t>
        </is>
      </c>
      <c r="C74" s="21" t="inlineStr">
        <is>
          <t>Cong tac - Tang 3</t>
        </is>
      </c>
      <c r="D74" s="20" t="inlineStr">
        <is>
          <t>cai</t>
        </is>
      </c>
      <c r="E74" s="22" t="n">
        <v>24.494</v>
      </c>
      <c r="F74" s="23" t="n">
        <v>2</v>
      </c>
      <c r="G74" s="22">
        <f>E74*(1+F74/100)</f>
        <v/>
      </c>
      <c r="H74" s="24" t="n">
        <v>195000</v>
      </c>
      <c r="I74" s="24">
        <f>G74*H74</f>
        <v/>
      </c>
    </row>
    <row r="75">
      <c r="A75" s="5" t="n">
        <v>68</v>
      </c>
      <c r="B75" s="6" t="inlineStr">
        <is>
          <t>DAY-CADIVI-2.5</t>
        </is>
      </c>
      <c r="C75" s="6" t="inlineStr">
        <is>
          <t>Day dien CV2.5 - Tang 3</t>
        </is>
      </c>
      <c r="D75" s="5" t="inlineStr">
        <is>
          <t>m</t>
        </is>
      </c>
      <c r="E75" s="25" t="n">
        <v>1632.96</v>
      </c>
      <c r="F75" s="26" t="n">
        <v>7</v>
      </c>
      <c r="G75" s="25">
        <f>E75*(1+F75/100)</f>
        <v/>
      </c>
      <c r="H75" s="8" t="n">
        <v>18500</v>
      </c>
      <c r="I75" s="8">
        <f>G75*H75</f>
        <v/>
      </c>
    </row>
    <row r="76">
      <c r="A76" s="20" t="n">
        <v>69</v>
      </c>
      <c r="B76" s="21" t="inlineStr">
        <is>
          <t>DAY-CADIVI-4.0</t>
        </is>
      </c>
      <c r="C76" s="21" t="inlineStr">
        <is>
          <t>Day dien CV4.0 truc dung - Tang 3</t>
        </is>
      </c>
      <c r="D76" s="20" t="inlineStr">
        <is>
          <t>m</t>
        </is>
      </c>
      <c r="E76" s="22" t="n">
        <v>326.592</v>
      </c>
      <c r="F76" s="23" t="n">
        <v>7</v>
      </c>
      <c r="G76" s="22">
        <f>E76*(1+F76/100)</f>
        <v/>
      </c>
      <c r="H76" s="24" t="n">
        <v>28500</v>
      </c>
      <c r="I76" s="24">
        <f>G76*H76</f>
        <v/>
      </c>
    </row>
    <row r="77">
      <c r="A77" s="5" t="n">
        <v>70</v>
      </c>
      <c r="B77" s="6" t="inlineStr">
        <is>
          <t>ONG-PVC-D27</t>
        </is>
      </c>
      <c r="C77" s="6" t="inlineStr">
        <is>
          <t>Ong dien PVC - Tang 3</t>
        </is>
      </c>
      <c r="D77" s="5" t="inlineStr">
        <is>
          <t>m</t>
        </is>
      </c>
      <c r="E77" s="25" t="n">
        <v>1224.72</v>
      </c>
      <c r="F77" s="26" t="n">
        <v>10</v>
      </c>
      <c r="G77" s="25">
        <f>E77*(1+F77/100)</f>
        <v/>
      </c>
      <c r="H77" s="8" t="n">
        <v>12500</v>
      </c>
      <c r="I77" s="8">
        <f>G77*H77</f>
        <v/>
      </c>
    </row>
    <row r="78">
      <c r="A78" s="20" t="n">
        <v>71</v>
      </c>
      <c r="B78" s="21" t="inlineStr">
        <is>
          <t>ONG-NUOC-PPR-25</t>
        </is>
      </c>
      <c r="C78" s="21" t="inlineStr">
        <is>
          <t>Ong nuoc nong PPR25 - Tang 3</t>
        </is>
      </c>
      <c r="D78" s="20" t="inlineStr">
        <is>
          <t>m</t>
        </is>
      </c>
      <c r="E78" s="22" t="n">
        <v>244.944</v>
      </c>
      <c r="F78" s="23" t="n">
        <v>10</v>
      </c>
      <c r="G78" s="22">
        <f>E78*(1+F78/100)</f>
        <v/>
      </c>
      <c r="H78" s="24" t="n">
        <v>32500</v>
      </c>
      <c r="I78" s="24">
        <f>G78*H78</f>
        <v/>
      </c>
    </row>
    <row r="79">
      <c r="A79" s="5" t="n">
        <v>72</v>
      </c>
      <c r="B79" s="6" t="inlineStr">
        <is>
          <t>ONG-NUOC-PVC-110</t>
        </is>
      </c>
      <c r="C79" s="6" t="inlineStr">
        <is>
          <t>Ong thoat PVC110 - Tang 3</t>
        </is>
      </c>
      <c r="D79" s="5" t="inlineStr">
        <is>
          <t>m</t>
        </is>
      </c>
      <c r="E79" s="25" t="n">
        <v>122.472</v>
      </c>
      <c r="F79" s="26" t="n">
        <v>10</v>
      </c>
      <c r="G79" s="25">
        <f>E79*(1+F79/100)</f>
        <v/>
      </c>
      <c r="H79" s="8" t="n">
        <v>65000</v>
      </c>
      <c r="I79" s="8">
        <f>G79*H79</f>
        <v/>
      </c>
    </row>
    <row r="80">
      <c r="A80" s="20" t="n">
        <v>73</v>
      </c>
      <c r="B80" s="21" t="inlineStr">
        <is>
          <t>DIEU-HOA-DAIKIN-12K</t>
        </is>
      </c>
      <c r="C80" s="21" t="inlineStr">
        <is>
          <t>Dieu hoa 12K - Tang 3</t>
        </is>
      </c>
      <c r="D80" s="20" t="inlineStr">
        <is>
          <t>bo</t>
        </is>
      </c>
      <c r="E80" s="22" t="n">
        <v>16</v>
      </c>
      <c r="F80" s="23" t="n">
        <v>0</v>
      </c>
      <c r="G80" s="22">
        <f>E80*(1+F80/100)</f>
        <v/>
      </c>
      <c r="H80" s="24" t="n">
        <v>18500000</v>
      </c>
      <c r="I80" s="24">
        <f>G80*H80</f>
        <v/>
      </c>
    </row>
    <row r="81">
      <c r="A81" s="5" t="n">
        <v>74</v>
      </c>
      <c r="B81" s="6" t="inlineStr">
        <is>
          <t>BINH-NUOC-NONG</t>
        </is>
      </c>
      <c r="C81" s="6" t="inlineStr">
        <is>
          <t>Binh nong lanh - Tang 3</t>
        </is>
      </c>
      <c r="D81" s="5" t="inlineStr">
        <is>
          <t>cai</t>
        </is>
      </c>
      <c r="E81" s="25" t="n">
        <v>8</v>
      </c>
      <c r="F81" s="26" t="n">
        <v>0</v>
      </c>
      <c r="G81" s="25">
        <f>E81*(1+F81/100)</f>
        <v/>
      </c>
      <c r="H81" s="8" t="n">
        <v>4500000</v>
      </c>
      <c r="I81" s="8">
        <f>G81*H81</f>
        <v/>
      </c>
    </row>
    <row r="82">
      <c r="A82" s="20" t="n">
        <v>75</v>
      </c>
      <c r="B82" s="21" t="inlineStr">
        <is>
          <t>DEN-LED-DAY</t>
        </is>
      </c>
      <c r="C82" s="21" t="inlineStr">
        <is>
          <t>LED day haft tran - Tang 3</t>
        </is>
      </c>
      <c r="D82" s="20" t="inlineStr">
        <is>
          <t>m</t>
        </is>
      </c>
      <c r="E82" s="22" t="n">
        <v>204.12</v>
      </c>
      <c r="F82" s="23" t="n">
        <v>5</v>
      </c>
      <c r="G82" s="22">
        <f>E82*(1+F82/100)</f>
        <v/>
      </c>
      <c r="H82" s="24" t="n">
        <v>85000</v>
      </c>
      <c r="I82" s="24">
        <f>G82*H82</f>
        <v/>
      </c>
    </row>
    <row r="83">
      <c r="A83" s="5" t="n">
        <v>76</v>
      </c>
      <c r="B83" s="6" t="inlineStr">
        <is>
          <t>DEN-CHUM-PHA</t>
        </is>
      </c>
      <c r="C83" s="6" t="inlineStr">
        <is>
          <t>Den chum pha le sanh chinh</t>
        </is>
      </c>
      <c r="D83" s="5" t="inlineStr">
        <is>
          <t>cai</t>
        </is>
      </c>
      <c r="E83" s="25" t="n">
        <v>1</v>
      </c>
      <c r="F83" s="26" t="n">
        <v>0</v>
      </c>
      <c r="G83" s="25">
        <f>E83*(1+F83/100)</f>
        <v/>
      </c>
      <c r="H83" s="8" t="n">
        <v>18500000</v>
      </c>
      <c r="I83" s="8">
        <f>G83*H83</f>
        <v/>
      </c>
    </row>
    <row r="84">
      <c r="A84" s="20" t="n">
        <v>77</v>
      </c>
      <c r="B84" s="21" t="inlineStr">
        <is>
          <t>TU-DIEN-AT</t>
        </is>
      </c>
      <c r="C84" s="21" t="inlineStr">
        <is>
          <t>Tu dien tong + ATS</t>
        </is>
      </c>
      <c r="D84" s="20" t="inlineStr">
        <is>
          <t>cai</t>
        </is>
      </c>
      <c r="E84" s="22" t="n">
        <v>1</v>
      </c>
      <c r="F84" s="23" t="n">
        <v>0</v>
      </c>
      <c r="G84" s="22">
        <f>E84*(1+F84/100)</f>
        <v/>
      </c>
      <c r="H84" s="24" t="n">
        <v>6800000</v>
      </c>
      <c r="I84" s="24">
        <f>G84*H84</f>
        <v/>
      </c>
    </row>
    <row r="85">
      <c r="A85" s="5" t="n">
        <v>78</v>
      </c>
      <c r="B85" s="6" t="inlineStr">
        <is>
          <t>DEN-LED-PHILIPS-18W</t>
        </is>
      </c>
      <c r="C85" s="6" t="inlineStr">
        <is>
          <t>Den downlight - Tang 1 Phong 1</t>
        </is>
      </c>
      <c r="D85" s="5" t="inlineStr">
        <is>
          <t>cai</t>
        </is>
      </c>
      <c r="E85" s="25" t="n">
        <v>6</v>
      </c>
      <c r="F85" s="26" t="n">
        <v>2</v>
      </c>
      <c r="G85" s="25">
        <f>E85*(1+F85/100)</f>
        <v/>
      </c>
      <c r="H85" s="8" t="n">
        <v>480000</v>
      </c>
      <c r="I85" s="8">
        <f>G85*H85</f>
        <v/>
      </c>
    </row>
    <row r="86">
      <c r="A86" s="20" t="n">
        <v>79</v>
      </c>
      <c r="B86" s="21" t="inlineStr">
        <is>
          <t>OCAM-SCHN-220</t>
        </is>
      </c>
      <c r="C86" s="21" t="inlineStr">
        <is>
          <t>O cam Schneider - Tang 1 Phong 1</t>
        </is>
      </c>
      <c r="D86" s="20" t="inlineStr">
        <is>
          <t>cai</t>
        </is>
      </c>
      <c r="E86" s="22" t="n">
        <v>4</v>
      </c>
      <c r="F86" s="23" t="n">
        <v>2</v>
      </c>
      <c r="G86" s="22">
        <f>E86*(1+F86/100)</f>
        <v/>
      </c>
      <c r="H86" s="24" t="n">
        <v>285000</v>
      </c>
      <c r="I86" s="24">
        <f>G86*H86</f>
        <v/>
      </c>
    </row>
    <row r="87">
      <c r="A87" s="5" t="n">
        <v>80</v>
      </c>
      <c r="B87" s="6" t="inlineStr">
        <is>
          <t>CONG-TAC-SCHN</t>
        </is>
      </c>
      <c r="C87" s="6" t="inlineStr">
        <is>
          <t>Cong tac - Tang 1 Phong 1</t>
        </is>
      </c>
      <c r="D87" s="5" t="inlineStr">
        <is>
          <t>cai</t>
        </is>
      </c>
      <c r="E87" s="25" t="n">
        <v>2</v>
      </c>
      <c r="F87" s="26" t="n">
        <v>2</v>
      </c>
      <c r="G87" s="25">
        <f>E87*(1+F87/100)</f>
        <v/>
      </c>
      <c r="H87" s="8" t="n">
        <v>195000</v>
      </c>
      <c r="I87" s="8">
        <f>G87*H87</f>
        <v/>
      </c>
    </row>
    <row r="88">
      <c r="A88" s="20" t="n">
        <v>81</v>
      </c>
      <c r="B88" s="21" t="inlineStr">
        <is>
          <t>DEN-LED-PHILIPS-18W</t>
        </is>
      </c>
      <c r="C88" s="21" t="inlineStr">
        <is>
          <t>Den downlight - Tang 1 Phong 2</t>
        </is>
      </c>
      <c r="D88" s="20" t="inlineStr">
        <is>
          <t>cai</t>
        </is>
      </c>
      <c r="E88" s="22" t="n">
        <v>6</v>
      </c>
      <c r="F88" s="23" t="n">
        <v>2</v>
      </c>
      <c r="G88" s="22">
        <f>E88*(1+F88/100)</f>
        <v/>
      </c>
      <c r="H88" s="24" t="n">
        <v>480000</v>
      </c>
      <c r="I88" s="24">
        <f>G88*H88</f>
        <v/>
      </c>
    </row>
    <row r="89">
      <c r="A89" s="5" t="n">
        <v>82</v>
      </c>
      <c r="B89" s="6" t="inlineStr">
        <is>
          <t>OCAM-SCHN-220</t>
        </is>
      </c>
      <c r="C89" s="6" t="inlineStr">
        <is>
          <t>O cam Schneider - Tang 1 Phong 2</t>
        </is>
      </c>
      <c r="D89" s="5" t="inlineStr">
        <is>
          <t>cai</t>
        </is>
      </c>
      <c r="E89" s="25" t="n">
        <v>4</v>
      </c>
      <c r="F89" s="26" t="n">
        <v>2</v>
      </c>
      <c r="G89" s="25">
        <f>E89*(1+F89/100)</f>
        <v/>
      </c>
      <c r="H89" s="8" t="n">
        <v>285000</v>
      </c>
      <c r="I89" s="8">
        <f>G89*H89</f>
        <v/>
      </c>
    </row>
    <row r="90">
      <c r="A90" s="20" t="n">
        <v>83</v>
      </c>
      <c r="B90" s="21" t="inlineStr">
        <is>
          <t>CONG-TAC-SCHN</t>
        </is>
      </c>
      <c r="C90" s="21" t="inlineStr">
        <is>
          <t>Cong tac - Tang 1 Phong 2</t>
        </is>
      </c>
      <c r="D90" s="20" t="inlineStr">
        <is>
          <t>cai</t>
        </is>
      </c>
      <c r="E90" s="22" t="n">
        <v>2</v>
      </c>
      <c r="F90" s="23" t="n">
        <v>2</v>
      </c>
      <c r="G90" s="22">
        <f>E90*(1+F90/100)</f>
        <v/>
      </c>
      <c r="H90" s="24" t="n">
        <v>195000</v>
      </c>
      <c r="I90" s="24">
        <f>G90*H90</f>
        <v/>
      </c>
    </row>
    <row r="91">
      <c r="A91" s="5" t="n">
        <v>84</v>
      </c>
      <c r="B91" s="6" t="inlineStr">
        <is>
          <t>DEN-LED-PHILIPS-18W</t>
        </is>
      </c>
      <c r="C91" s="6" t="inlineStr">
        <is>
          <t>Den downlight - Tang 1 Phong 3</t>
        </is>
      </c>
      <c r="D91" s="5" t="inlineStr">
        <is>
          <t>cai</t>
        </is>
      </c>
      <c r="E91" s="25" t="n">
        <v>6</v>
      </c>
      <c r="F91" s="26" t="n">
        <v>2</v>
      </c>
      <c r="G91" s="25">
        <f>E91*(1+F91/100)</f>
        <v/>
      </c>
      <c r="H91" s="8" t="n">
        <v>480000</v>
      </c>
      <c r="I91" s="8">
        <f>G91*H91</f>
        <v/>
      </c>
    </row>
    <row r="92">
      <c r="A92" s="20" t="n">
        <v>85</v>
      </c>
      <c r="B92" s="21" t="inlineStr">
        <is>
          <t>OCAM-SCHN-220</t>
        </is>
      </c>
      <c r="C92" s="21" t="inlineStr">
        <is>
          <t>O cam Schneider - Tang 1 Phong 3</t>
        </is>
      </c>
      <c r="D92" s="20" t="inlineStr">
        <is>
          <t>cai</t>
        </is>
      </c>
      <c r="E92" s="22" t="n">
        <v>4</v>
      </c>
      <c r="F92" s="23" t="n">
        <v>2</v>
      </c>
      <c r="G92" s="22">
        <f>E92*(1+F92/100)</f>
        <v/>
      </c>
      <c r="H92" s="24" t="n">
        <v>285000</v>
      </c>
      <c r="I92" s="24">
        <f>G92*H92</f>
        <v/>
      </c>
    </row>
    <row r="93">
      <c r="A93" s="5" t="n">
        <v>86</v>
      </c>
      <c r="B93" s="6" t="inlineStr">
        <is>
          <t>CONG-TAC-SCHN</t>
        </is>
      </c>
      <c r="C93" s="6" t="inlineStr">
        <is>
          <t>Cong tac - Tang 1 Phong 3</t>
        </is>
      </c>
      <c r="D93" s="5" t="inlineStr">
        <is>
          <t>cai</t>
        </is>
      </c>
      <c r="E93" s="25" t="n">
        <v>2</v>
      </c>
      <c r="F93" s="26" t="n">
        <v>2</v>
      </c>
      <c r="G93" s="25">
        <f>E93*(1+F93/100)</f>
        <v/>
      </c>
      <c r="H93" s="8" t="n">
        <v>195000</v>
      </c>
      <c r="I93" s="8">
        <f>G93*H93</f>
        <v/>
      </c>
    </row>
    <row r="94">
      <c r="A94" s="20" t="n">
        <v>87</v>
      </c>
      <c r="B94" s="21" t="inlineStr">
        <is>
          <t>DEN-LED-PHILIPS-18W</t>
        </is>
      </c>
      <c r="C94" s="21" t="inlineStr">
        <is>
          <t>Den downlight - Tang 1 Phong 4</t>
        </is>
      </c>
      <c r="D94" s="20" t="inlineStr">
        <is>
          <t>cai</t>
        </is>
      </c>
      <c r="E94" s="22" t="n">
        <v>6</v>
      </c>
      <c r="F94" s="23" t="n">
        <v>2</v>
      </c>
      <c r="G94" s="22">
        <f>E94*(1+F94/100)</f>
        <v/>
      </c>
      <c r="H94" s="24" t="n">
        <v>480000</v>
      </c>
      <c r="I94" s="24">
        <f>G94*H94</f>
        <v/>
      </c>
    </row>
    <row r="95">
      <c r="A95" s="5" t="n">
        <v>88</v>
      </c>
      <c r="B95" s="6" t="inlineStr">
        <is>
          <t>OCAM-SCHN-220</t>
        </is>
      </c>
      <c r="C95" s="6" t="inlineStr">
        <is>
          <t>O cam Schneider - Tang 1 Phong 4</t>
        </is>
      </c>
      <c r="D95" s="5" t="inlineStr">
        <is>
          <t>cai</t>
        </is>
      </c>
      <c r="E95" s="25" t="n">
        <v>4</v>
      </c>
      <c r="F95" s="26" t="n">
        <v>2</v>
      </c>
      <c r="G95" s="25">
        <f>E95*(1+F95/100)</f>
        <v/>
      </c>
      <c r="H95" s="8" t="n">
        <v>285000</v>
      </c>
      <c r="I95" s="8">
        <f>G95*H95</f>
        <v/>
      </c>
    </row>
    <row r="96">
      <c r="A96" s="20" t="n">
        <v>89</v>
      </c>
      <c r="B96" s="21" t="inlineStr">
        <is>
          <t>CONG-TAC-SCHN</t>
        </is>
      </c>
      <c r="C96" s="21" t="inlineStr">
        <is>
          <t>Cong tac - Tang 1 Phong 4</t>
        </is>
      </c>
      <c r="D96" s="20" t="inlineStr">
        <is>
          <t>cai</t>
        </is>
      </c>
      <c r="E96" s="22" t="n">
        <v>2</v>
      </c>
      <c r="F96" s="23" t="n">
        <v>2</v>
      </c>
      <c r="G96" s="22">
        <f>E96*(1+F96/100)</f>
        <v/>
      </c>
      <c r="H96" s="24" t="n">
        <v>195000</v>
      </c>
      <c r="I96" s="24">
        <f>G96*H96</f>
        <v/>
      </c>
    </row>
    <row r="97">
      <c r="A97" s="5" t="n">
        <v>90</v>
      </c>
      <c r="B97" s="6" t="inlineStr">
        <is>
          <t>DEN-LED-PHILIPS-18W</t>
        </is>
      </c>
      <c r="C97" s="6" t="inlineStr">
        <is>
          <t>Den downlight - Tang 1 Phong 5</t>
        </is>
      </c>
      <c r="D97" s="5" t="inlineStr">
        <is>
          <t>cai</t>
        </is>
      </c>
      <c r="E97" s="25" t="n">
        <v>6</v>
      </c>
      <c r="F97" s="26" t="n">
        <v>2</v>
      </c>
      <c r="G97" s="25">
        <f>E97*(1+F97/100)</f>
        <v/>
      </c>
      <c r="H97" s="8" t="n">
        <v>480000</v>
      </c>
      <c r="I97" s="8">
        <f>G97*H97</f>
        <v/>
      </c>
    </row>
    <row r="98">
      <c r="A98" s="20" t="n">
        <v>91</v>
      </c>
      <c r="B98" s="21" t="inlineStr">
        <is>
          <t>OCAM-SCHN-220</t>
        </is>
      </c>
      <c r="C98" s="21" t="inlineStr">
        <is>
          <t>O cam Schneider - Tang 1 Phong 5</t>
        </is>
      </c>
      <c r="D98" s="20" t="inlineStr">
        <is>
          <t>cai</t>
        </is>
      </c>
      <c r="E98" s="22" t="n">
        <v>4</v>
      </c>
      <c r="F98" s="23" t="n">
        <v>2</v>
      </c>
      <c r="G98" s="22">
        <f>E98*(1+F98/100)</f>
        <v/>
      </c>
      <c r="H98" s="24" t="n">
        <v>285000</v>
      </c>
      <c r="I98" s="24">
        <f>G98*H98</f>
        <v/>
      </c>
    </row>
    <row r="99">
      <c r="A99" s="5" t="n">
        <v>92</v>
      </c>
      <c r="B99" s="6" t="inlineStr">
        <is>
          <t>CONG-TAC-SCHN</t>
        </is>
      </c>
      <c r="C99" s="6" t="inlineStr">
        <is>
          <t>Cong tac - Tang 1 Phong 5</t>
        </is>
      </c>
      <c r="D99" s="5" t="inlineStr">
        <is>
          <t>cai</t>
        </is>
      </c>
      <c r="E99" s="25" t="n">
        <v>2</v>
      </c>
      <c r="F99" s="26" t="n">
        <v>2</v>
      </c>
      <c r="G99" s="25">
        <f>E99*(1+F99/100)</f>
        <v/>
      </c>
      <c r="H99" s="8" t="n">
        <v>195000</v>
      </c>
      <c r="I99" s="8">
        <f>G99*H99</f>
        <v/>
      </c>
    </row>
    <row r="100">
      <c r="A100" s="20" t="n">
        <v>93</v>
      </c>
      <c r="B100" s="21" t="inlineStr">
        <is>
          <t>DEN-LED-PHILIPS-18W</t>
        </is>
      </c>
      <c r="C100" s="21" t="inlineStr">
        <is>
          <t>Den downlight - Tang 1 Phong 6</t>
        </is>
      </c>
      <c r="D100" s="20" t="inlineStr">
        <is>
          <t>cai</t>
        </is>
      </c>
      <c r="E100" s="22" t="n">
        <v>6</v>
      </c>
      <c r="F100" s="23" t="n">
        <v>2</v>
      </c>
      <c r="G100" s="22">
        <f>E100*(1+F100/100)</f>
        <v/>
      </c>
      <c r="H100" s="24" t="n">
        <v>480000</v>
      </c>
      <c r="I100" s="24">
        <f>G100*H100</f>
        <v/>
      </c>
    </row>
    <row r="101">
      <c r="A101" s="5" t="n">
        <v>94</v>
      </c>
      <c r="B101" s="6" t="inlineStr">
        <is>
          <t>OCAM-SCHN-220</t>
        </is>
      </c>
      <c r="C101" s="6" t="inlineStr">
        <is>
          <t>O cam Schneider - Tang 1 Phong 6</t>
        </is>
      </c>
      <c r="D101" s="5" t="inlineStr">
        <is>
          <t>cai</t>
        </is>
      </c>
      <c r="E101" s="25" t="n">
        <v>4</v>
      </c>
      <c r="F101" s="26" t="n">
        <v>2</v>
      </c>
      <c r="G101" s="25">
        <f>E101*(1+F101/100)</f>
        <v/>
      </c>
      <c r="H101" s="8" t="n">
        <v>285000</v>
      </c>
      <c r="I101" s="8">
        <f>G101*H101</f>
        <v/>
      </c>
    </row>
    <row r="102">
      <c r="A102" s="20" t="n">
        <v>95</v>
      </c>
      <c r="B102" s="21" t="inlineStr">
        <is>
          <t>CONG-TAC-SCHN</t>
        </is>
      </c>
      <c r="C102" s="21" t="inlineStr">
        <is>
          <t>Cong tac - Tang 1 Phong 6</t>
        </is>
      </c>
      <c r="D102" s="20" t="inlineStr">
        <is>
          <t>cai</t>
        </is>
      </c>
      <c r="E102" s="22" t="n">
        <v>2</v>
      </c>
      <c r="F102" s="23" t="n">
        <v>2</v>
      </c>
      <c r="G102" s="22">
        <f>E102*(1+F102/100)</f>
        <v/>
      </c>
      <c r="H102" s="24" t="n">
        <v>195000</v>
      </c>
      <c r="I102" s="24">
        <f>G102*H102</f>
        <v/>
      </c>
    </row>
    <row r="103">
      <c r="A103" s="5" t="n">
        <v>96</v>
      </c>
      <c r="B103" s="6" t="inlineStr">
        <is>
          <t>DEN-LED-PHILIPS-18W</t>
        </is>
      </c>
      <c r="C103" s="6" t="inlineStr">
        <is>
          <t>Den downlight - Tang 1 Phong 7</t>
        </is>
      </c>
      <c r="D103" s="5" t="inlineStr">
        <is>
          <t>cai</t>
        </is>
      </c>
      <c r="E103" s="25" t="n">
        <v>6</v>
      </c>
      <c r="F103" s="26" t="n">
        <v>2</v>
      </c>
      <c r="G103" s="25">
        <f>E103*(1+F103/100)</f>
        <v/>
      </c>
      <c r="H103" s="8" t="n">
        <v>480000</v>
      </c>
      <c r="I103" s="8">
        <f>G103*H103</f>
        <v/>
      </c>
    </row>
    <row r="104">
      <c r="A104" s="20" t="n">
        <v>97</v>
      </c>
      <c r="B104" s="21" t="inlineStr">
        <is>
          <t>OCAM-SCHN-220</t>
        </is>
      </c>
      <c r="C104" s="21" t="inlineStr">
        <is>
          <t>O cam Schneider - Tang 1 Phong 7</t>
        </is>
      </c>
      <c r="D104" s="20" t="inlineStr">
        <is>
          <t>cai</t>
        </is>
      </c>
      <c r="E104" s="22" t="n">
        <v>4</v>
      </c>
      <c r="F104" s="23" t="n">
        <v>2</v>
      </c>
      <c r="G104" s="22">
        <f>E104*(1+F104/100)</f>
        <v/>
      </c>
      <c r="H104" s="24" t="n">
        <v>285000</v>
      </c>
      <c r="I104" s="24">
        <f>G104*H104</f>
        <v/>
      </c>
    </row>
    <row r="105">
      <c r="A105" s="5" t="n">
        <v>98</v>
      </c>
      <c r="B105" s="6" t="inlineStr">
        <is>
          <t>CONG-TAC-SCHN</t>
        </is>
      </c>
      <c r="C105" s="6" t="inlineStr">
        <is>
          <t>Cong tac - Tang 1 Phong 7</t>
        </is>
      </c>
      <c r="D105" s="5" t="inlineStr">
        <is>
          <t>cai</t>
        </is>
      </c>
      <c r="E105" s="25" t="n">
        <v>2</v>
      </c>
      <c r="F105" s="26" t="n">
        <v>2</v>
      </c>
      <c r="G105" s="25">
        <f>E105*(1+F105/100)</f>
        <v/>
      </c>
      <c r="H105" s="8" t="n">
        <v>195000</v>
      </c>
      <c r="I105" s="8">
        <f>G105*H105</f>
        <v/>
      </c>
    </row>
    <row r="106">
      <c r="A106" s="20" t="n">
        <v>99</v>
      </c>
      <c r="B106" s="21" t="inlineStr">
        <is>
          <t>DEN-LED-PHILIPS-18W</t>
        </is>
      </c>
      <c r="C106" s="21" t="inlineStr">
        <is>
          <t>Den downlight - Tang 1 Phong 8</t>
        </is>
      </c>
      <c r="D106" s="20" t="inlineStr">
        <is>
          <t>cai</t>
        </is>
      </c>
      <c r="E106" s="22" t="n">
        <v>6</v>
      </c>
      <c r="F106" s="23" t="n">
        <v>2</v>
      </c>
      <c r="G106" s="22">
        <f>E106*(1+F106/100)</f>
        <v/>
      </c>
      <c r="H106" s="24" t="n">
        <v>480000</v>
      </c>
      <c r="I106" s="24">
        <f>G106*H106</f>
        <v/>
      </c>
    </row>
    <row r="107">
      <c r="A107" s="5" t="n">
        <v>100</v>
      </c>
      <c r="B107" s="6" t="inlineStr">
        <is>
          <t>OCAM-SCHN-220</t>
        </is>
      </c>
      <c r="C107" s="6" t="inlineStr">
        <is>
          <t>O cam Schneider - Tang 1 Phong 8</t>
        </is>
      </c>
      <c r="D107" s="5" t="inlineStr">
        <is>
          <t>cai</t>
        </is>
      </c>
      <c r="E107" s="25" t="n">
        <v>4</v>
      </c>
      <c r="F107" s="26" t="n">
        <v>2</v>
      </c>
      <c r="G107" s="25">
        <f>E107*(1+F107/100)</f>
        <v/>
      </c>
      <c r="H107" s="8" t="n">
        <v>285000</v>
      </c>
      <c r="I107" s="8">
        <f>G107*H107</f>
        <v/>
      </c>
    </row>
    <row r="108">
      <c r="A108" s="20" t="n">
        <v>101</v>
      </c>
      <c r="B108" s="21" t="inlineStr">
        <is>
          <t>CONG-TAC-SCHN</t>
        </is>
      </c>
      <c r="C108" s="21" t="inlineStr">
        <is>
          <t>Cong tac - Tang 1 Phong 8</t>
        </is>
      </c>
      <c r="D108" s="20" t="inlineStr">
        <is>
          <t>cai</t>
        </is>
      </c>
      <c r="E108" s="22" t="n">
        <v>2</v>
      </c>
      <c r="F108" s="23" t="n">
        <v>2</v>
      </c>
      <c r="G108" s="22">
        <f>E108*(1+F108/100)</f>
        <v/>
      </c>
      <c r="H108" s="24" t="n">
        <v>195000</v>
      </c>
      <c r="I108" s="24">
        <f>G108*H108</f>
        <v/>
      </c>
    </row>
    <row r="109">
      <c r="A109" s="5" t="n">
        <v>102</v>
      </c>
      <c r="B109" s="6" t="inlineStr">
        <is>
          <t>DEN-LED-PHILIPS-18W</t>
        </is>
      </c>
      <c r="C109" s="6" t="inlineStr">
        <is>
          <t>Den downlight - Tang 1 Phong 9</t>
        </is>
      </c>
      <c r="D109" s="5" t="inlineStr">
        <is>
          <t>cai</t>
        </is>
      </c>
      <c r="E109" s="25" t="n">
        <v>6</v>
      </c>
      <c r="F109" s="26" t="n">
        <v>2</v>
      </c>
      <c r="G109" s="25">
        <f>E109*(1+F109/100)</f>
        <v/>
      </c>
      <c r="H109" s="8" t="n">
        <v>480000</v>
      </c>
      <c r="I109" s="8">
        <f>G109*H109</f>
        <v/>
      </c>
    </row>
    <row r="110">
      <c r="A110" s="20" t="n">
        <v>103</v>
      </c>
      <c r="B110" s="21" t="inlineStr">
        <is>
          <t>OCAM-SCHN-220</t>
        </is>
      </c>
      <c r="C110" s="21" t="inlineStr">
        <is>
          <t>O cam Schneider - Tang 1 Phong 9</t>
        </is>
      </c>
      <c r="D110" s="20" t="inlineStr">
        <is>
          <t>cai</t>
        </is>
      </c>
      <c r="E110" s="22" t="n">
        <v>4</v>
      </c>
      <c r="F110" s="23" t="n">
        <v>2</v>
      </c>
      <c r="G110" s="22">
        <f>E110*(1+F110/100)</f>
        <v/>
      </c>
      <c r="H110" s="24" t="n">
        <v>285000</v>
      </c>
      <c r="I110" s="24">
        <f>G110*H110</f>
        <v/>
      </c>
    </row>
    <row r="111">
      <c r="A111" s="5" t="n">
        <v>104</v>
      </c>
      <c r="B111" s="6" t="inlineStr">
        <is>
          <t>CONG-TAC-SCHN</t>
        </is>
      </c>
      <c r="C111" s="6" t="inlineStr">
        <is>
          <t>Cong tac - Tang 1 Phong 9</t>
        </is>
      </c>
      <c r="D111" s="5" t="inlineStr">
        <is>
          <t>cai</t>
        </is>
      </c>
      <c r="E111" s="25" t="n">
        <v>2</v>
      </c>
      <c r="F111" s="26" t="n">
        <v>2</v>
      </c>
      <c r="G111" s="25">
        <f>E111*(1+F111/100)</f>
        <v/>
      </c>
      <c r="H111" s="8" t="n">
        <v>195000</v>
      </c>
      <c r="I111" s="8">
        <f>G111*H111</f>
        <v/>
      </c>
    </row>
    <row r="112">
      <c r="A112" s="20" t="n">
        <v>105</v>
      </c>
      <c r="B112" s="21" t="inlineStr">
        <is>
          <t>DEN-LED-PHILIPS-18W</t>
        </is>
      </c>
      <c r="C112" s="21" t="inlineStr">
        <is>
          <t>Den downlight - Tang 1 Phong 10</t>
        </is>
      </c>
      <c r="D112" s="20" t="inlineStr">
        <is>
          <t>cai</t>
        </is>
      </c>
      <c r="E112" s="22" t="n">
        <v>6</v>
      </c>
      <c r="F112" s="23" t="n">
        <v>2</v>
      </c>
      <c r="G112" s="22">
        <f>E112*(1+F112/100)</f>
        <v/>
      </c>
      <c r="H112" s="24" t="n">
        <v>480000</v>
      </c>
      <c r="I112" s="24">
        <f>G112*H112</f>
        <v/>
      </c>
    </row>
    <row r="113">
      <c r="A113" s="5" t="n">
        <v>106</v>
      </c>
      <c r="B113" s="6" t="inlineStr">
        <is>
          <t>OCAM-SCHN-220</t>
        </is>
      </c>
      <c r="C113" s="6" t="inlineStr">
        <is>
          <t>O cam Schneider - Tang 1 Phong 10</t>
        </is>
      </c>
      <c r="D113" s="5" t="inlineStr">
        <is>
          <t>cai</t>
        </is>
      </c>
      <c r="E113" s="25" t="n">
        <v>4</v>
      </c>
      <c r="F113" s="26" t="n">
        <v>2</v>
      </c>
      <c r="G113" s="25">
        <f>E113*(1+F113/100)</f>
        <v/>
      </c>
      <c r="H113" s="8" t="n">
        <v>285000</v>
      </c>
      <c r="I113" s="8">
        <f>G113*H113</f>
        <v/>
      </c>
    </row>
    <row r="114">
      <c r="A114" s="20" t="n">
        <v>107</v>
      </c>
      <c r="B114" s="21" t="inlineStr">
        <is>
          <t>CONG-TAC-SCHN</t>
        </is>
      </c>
      <c r="C114" s="21" t="inlineStr">
        <is>
          <t>Cong tac - Tang 1 Phong 10</t>
        </is>
      </c>
      <c r="D114" s="20" t="inlineStr">
        <is>
          <t>cai</t>
        </is>
      </c>
      <c r="E114" s="22" t="n">
        <v>2</v>
      </c>
      <c r="F114" s="23" t="n">
        <v>2</v>
      </c>
      <c r="G114" s="22">
        <f>E114*(1+F114/100)</f>
        <v/>
      </c>
      <c r="H114" s="24" t="n">
        <v>195000</v>
      </c>
      <c r="I114" s="24">
        <f>G114*H114</f>
        <v/>
      </c>
    </row>
    <row r="115">
      <c r="A115" s="5" t="n">
        <v>108</v>
      </c>
      <c r="B115" s="6" t="inlineStr">
        <is>
          <t>DEN-LED-PHILIPS-18W</t>
        </is>
      </c>
      <c r="C115" s="6" t="inlineStr">
        <is>
          <t>Den downlight - Tang 1 Phong 11</t>
        </is>
      </c>
      <c r="D115" s="5" t="inlineStr">
        <is>
          <t>cai</t>
        </is>
      </c>
      <c r="E115" s="25" t="n">
        <v>6</v>
      </c>
      <c r="F115" s="26" t="n">
        <v>2</v>
      </c>
      <c r="G115" s="25">
        <f>E115*(1+F115/100)</f>
        <v/>
      </c>
      <c r="H115" s="8" t="n">
        <v>480000</v>
      </c>
      <c r="I115" s="8">
        <f>G115*H115</f>
        <v/>
      </c>
    </row>
    <row r="116">
      <c r="A116" s="20" t="n">
        <v>109</v>
      </c>
      <c r="B116" s="21" t="inlineStr">
        <is>
          <t>OCAM-SCHN-220</t>
        </is>
      </c>
      <c r="C116" s="21" t="inlineStr">
        <is>
          <t>O cam Schneider - Tang 1 Phong 11</t>
        </is>
      </c>
      <c r="D116" s="20" t="inlineStr">
        <is>
          <t>cai</t>
        </is>
      </c>
      <c r="E116" s="22" t="n">
        <v>4</v>
      </c>
      <c r="F116" s="23" t="n">
        <v>2</v>
      </c>
      <c r="G116" s="22">
        <f>E116*(1+F116/100)</f>
        <v/>
      </c>
      <c r="H116" s="24" t="n">
        <v>285000</v>
      </c>
      <c r="I116" s="24">
        <f>G116*H116</f>
        <v/>
      </c>
    </row>
    <row r="117">
      <c r="A117" s="5" t="n">
        <v>110</v>
      </c>
      <c r="B117" s="6" t="inlineStr">
        <is>
          <t>CONG-TAC-SCHN</t>
        </is>
      </c>
      <c r="C117" s="6" t="inlineStr">
        <is>
          <t>Cong tac - Tang 1 Phong 11</t>
        </is>
      </c>
      <c r="D117" s="5" t="inlineStr">
        <is>
          <t>cai</t>
        </is>
      </c>
      <c r="E117" s="25" t="n">
        <v>2</v>
      </c>
      <c r="F117" s="26" t="n">
        <v>2</v>
      </c>
      <c r="G117" s="25">
        <f>E117*(1+F117/100)</f>
        <v/>
      </c>
      <c r="H117" s="8" t="n">
        <v>195000</v>
      </c>
      <c r="I117" s="8">
        <f>G117*H117</f>
        <v/>
      </c>
    </row>
    <row r="118">
      <c r="A118" s="20" t="n">
        <v>111</v>
      </c>
      <c r="B118" s="21" t="inlineStr">
        <is>
          <t>DEN-LED-PHILIPS-18W</t>
        </is>
      </c>
      <c r="C118" s="21" t="inlineStr">
        <is>
          <t>Den downlight - Tang 1 Phong 12</t>
        </is>
      </c>
      <c r="D118" s="20" t="inlineStr">
        <is>
          <t>cai</t>
        </is>
      </c>
      <c r="E118" s="22" t="n">
        <v>6</v>
      </c>
      <c r="F118" s="23" t="n">
        <v>2</v>
      </c>
      <c r="G118" s="22">
        <f>E118*(1+F118/100)</f>
        <v/>
      </c>
      <c r="H118" s="24" t="n">
        <v>480000</v>
      </c>
      <c r="I118" s="24">
        <f>G118*H118</f>
        <v/>
      </c>
    </row>
    <row r="119">
      <c r="A119" s="5" t="n">
        <v>112</v>
      </c>
      <c r="B119" s="6" t="inlineStr">
        <is>
          <t>OCAM-SCHN-220</t>
        </is>
      </c>
      <c r="C119" s="6" t="inlineStr">
        <is>
          <t>O cam Schneider - Tang 1 Phong 12</t>
        </is>
      </c>
      <c r="D119" s="5" t="inlineStr">
        <is>
          <t>cai</t>
        </is>
      </c>
      <c r="E119" s="25" t="n">
        <v>4</v>
      </c>
      <c r="F119" s="26" t="n">
        <v>2</v>
      </c>
      <c r="G119" s="25">
        <f>E119*(1+F119/100)</f>
        <v/>
      </c>
      <c r="H119" s="8" t="n">
        <v>285000</v>
      </c>
      <c r="I119" s="8">
        <f>G119*H119</f>
        <v/>
      </c>
    </row>
    <row r="120">
      <c r="A120" s="20" t="n">
        <v>113</v>
      </c>
      <c r="B120" s="21" t="inlineStr">
        <is>
          <t>CONG-TAC-SCHN</t>
        </is>
      </c>
      <c r="C120" s="21" t="inlineStr">
        <is>
          <t>Cong tac - Tang 1 Phong 12</t>
        </is>
      </c>
      <c r="D120" s="20" t="inlineStr">
        <is>
          <t>cai</t>
        </is>
      </c>
      <c r="E120" s="22" t="n">
        <v>2</v>
      </c>
      <c r="F120" s="23" t="n">
        <v>2</v>
      </c>
      <c r="G120" s="22">
        <f>E120*(1+F120/100)</f>
        <v/>
      </c>
      <c r="H120" s="24" t="n">
        <v>195000</v>
      </c>
      <c r="I120" s="24">
        <f>G120*H120</f>
        <v/>
      </c>
    </row>
    <row r="121">
      <c r="A121" s="5" t="n">
        <v>114</v>
      </c>
      <c r="B121" s="6" t="inlineStr">
        <is>
          <t>DEN-LED-PHILIPS-18W</t>
        </is>
      </c>
      <c r="C121" s="6" t="inlineStr">
        <is>
          <t>Den downlight - Tang 1 Phong 13</t>
        </is>
      </c>
      <c r="D121" s="5" t="inlineStr">
        <is>
          <t>cai</t>
        </is>
      </c>
      <c r="E121" s="25" t="n">
        <v>6</v>
      </c>
      <c r="F121" s="26" t="n">
        <v>2</v>
      </c>
      <c r="G121" s="25">
        <f>E121*(1+F121/100)</f>
        <v/>
      </c>
      <c r="H121" s="8" t="n">
        <v>480000</v>
      </c>
      <c r="I121" s="8">
        <f>G121*H121</f>
        <v/>
      </c>
    </row>
    <row r="122">
      <c r="A122" s="20" t="n">
        <v>115</v>
      </c>
      <c r="B122" s="21" t="inlineStr">
        <is>
          <t>OCAM-SCHN-220</t>
        </is>
      </c>
      <c r="C122" s="21" t="inlineStr">
        <is>
          <t>O cam Schneider - Tang 1 Phong 13</t>
        </is>
      </c>
      <c r="D122" s="20" t="inlineStr">
        <is>
          <t>cai</t>
        </is>
      </c>
      <c r="E122" s="22" t="n">
        <v>4</v>
      </c>
      <c r="F122" s="23" t="n">
        <v>2</v>
      </c>
      <c r="G122" s="22">
        <f>E122*(1+F122/100)</f>
        <v/>
      </c>
      <c r="H122" s="24" t="n">
        <v>285000</v>
      </c>
      <c r="I122" s="24">
        <f>G122*H122</f>
        <v/>
      </c>
    </row>
    <row r="123">
      <c r="A123" s="5" t="n">
        <v>116</v>
      </c>
      <c r="B123" s="6" t="inlineStr">
        <is>
          <t>CONG-TAC-SCHN</t>
        </is>
      </c>
      <c r="C123" s="6" t="inlineStr">
        <is>
          <t>Cong tac - Tang 1 Phong 13</t>
        </is>
      </c>
      <c r="D123" s="5" t="inlineStr">
        <is>
          <t>cai</t>
        </is>
      </c>
      <c r="E123" s="25" t="n">
        <v>2</v>
      </c>
      <c r="F123" s="26" t="n">
        <v>2</v>
      </c>
      <c r="G123" s="25">
        <f>E123*(1+F123/100)</f>
        <v/>
      </c>
      <c r="H123" s="8" t="n">
        <v>195000</v>
      </c>
      <c r="I123" s="8">
        <f>G123*H123</f>
        <v/>
      </c>
    </row>
    <row r="124">
      <c r="A124" s="20" t="n">
        <v>117</v>
      </c>
      <c r="B124" s="21" t="inlineStr">
        <is>
          <t>DEN-LED-PHILIPS-18W</t>
        </is>
      </c>
      <c r="C124" s="21" t="inlineStr">
        <is>
          <t>Den downlight - Tang 1 Phong 14</t>
        </is>
      </c>
      <c r="D124" s="20" t="inlineStr">
        <is>
          <t>cai</t>
        </is>
      </c>
      <c r="E124" s="22" t="n">
        <v>6</v>
      </c>
      <c r="F124" s="23" t="n">
        <v>2</v>
      </c>
      <c r="G124" s="22">
        <f>E124*(1+F124/100)</f>
        <v/>
      </c>
      <c r="H124" s="24" t="n">
        <v>480000</v>
      </c>
      <c r="I124" s="24">
        <f>G124*H124</f>
        <v/>
      </c>
    </row>
    <row r="125">
      <c r="A125" s="5" t="n">
        <v>118</v>
      </c>
      <c r="B125" s="6" t="inlineStr">
        <is>
          <t>OCAM-SCHN-220</t>
        </is>
      </c>
      <c r="C125" s="6" t="inlineStr">
        <is>
          <t>O cam Schneider - Tang 1 Phong 14</t>
        </is>
      </c>
      <c r="D125" s="5" t="inlineStr">
        <is>
          <t>cai</t>
        </is>
      </c>
      <c r="E125" s="25" t="n">
        <v>4</v>
      </c>
      <c r="F125" s="26" t="n">
        <v>2</v>
      </c>
      <c r="G125" s="25">
        <f>E125*(1+F125/100)</f>
        <v/>
      </c>
      <c r="H125" s="8" t="n">
        <v>285000</v>
      </c>
      <c r="I125" s="8">
        <f>G125*H125</f>
        <v/>
      </c>
    </row>
    <row r="126">
      <c r="A126" s="20" t="n">
        <v>119</v>
      </c>
      <c r="B126" s="21" t="inlineStr">
        <is>
          <t>CONG-TAC-SCHN</t>
        </is>
      </c>
      <c r="C126" s="21" t="inlineStr">
        <is>
          <t>Cong tac - Tang 1 Phong 14</t>
        </is>
      </c>
      <c r="D126" s="20" t="inlineStr">
        <is>
          <t>cai</t>
        </is>
      </c>
      <c r="E126" s="22" t="n">
        <v>2</v>
      </c>
      <c r="F126" s="23" t="n">
        <v>2</v>
      </c>
      <c r="G126" s="22">
        <f>E126*(1+F126/100)</f>
        <v/>
      </c>
      <c r="H126" s="24" t="n">
        <v>195000</v>
      </c>
      <c r="I126" s="24">
        <f>G126*H126</f>
        <v/>
      </c>
    </row>
    <row r="127">
      <c r="A127" s="5" t="n">
        <v>120</v>
      </c>
      <c r="B127" s="6" t="inlineStr">
        <is>
          <t>DEN-LED-PHILIPS-18W</t>
        </is>
      </c>
      <c r="C127" s="6" t="inlineStr">
        <is>
          <t>Den downlight - Tang 1 Phong 15</t>
        </is>
      </c>
      <c r="D127" s="5" t="inlineStr">
        <is>
          <t>cai</t>
        </is>
      </c>
      <c r="E127" s="25" t="n">
        <v>6</v>
      </c>
      <c r="F127" s="26" t="n">
        <v>2</v>
      </c>
      <c r="G127" s="25">
        <f>E127*(1+F127/100)</f>
        <v/>
      </c>
      <c r="H127" s="8" t="n">
        <v>480000</v>
      </c>
      <c r="I127" s="8">
        <f>G127*H127</f>
        <v/>
      </c>
    </row>
    <row r="128">
      <c r="A128" s="20" t="n">
        <v>121</v>
      </c>
      <c r="B128" s="21" t="inlineStr">
        <is>
          <t>OCAM-SCHN-220</t>
        </is>
      </c>
      <c r="C128" s="21" t="inlineStr">
        <is>
          <t>O cam Schneider - Tang 1 Phong 15</t>
        </is>
      </c>
      <c r="D128" s="20" t="inlineStr">
        <is>
          <t>cai</t>
        </is>
      </c>
      <c r="E128" s="22" t="n">
        <v>4</v>
      </c>
      <c r="F128" s="23" t="n">
        <v>2</v>
      </c>
      <c r="G128" s="22">
        <f>E128*(1+F128/100)</f>
        <v/>
      </c>
      <c r="H128" s="24" t="n">
        <v>285000</v>
      </c>
      <c r="I128" s="24">
        <f>G128*H128</f>
        <v/>
      </c>
    </row>
    <row r="129">
      <c r="A129" s="5" t="n">
        <v>122</v>
      </c>
      <c r="B129" s="6" t="inlineStr">
        <is>
          <t>CONG-TAC-SCHN</t>
        </is>
      </c>
      <c r="C129" s="6" t="inlineStr">
        <is>
          <t>Cong tac - Tang 1 Phong 15</t>
        </is>
      </c>
      <c r="D129" s="5" t="inlineStr">
        <is>
          <t>cai</t>
        </is>
      </c>
      <c r="E129" s="25" t="n">
        <v>2</v>
      </c>
      <c r="F129" s="26" t="n">
        <v>2</v>
      </c>
      <c r="G129" s="25">
        <f>E129*(1+F129/100)</f>
        <v/>
      </c>
      <c r="H129" s="8" t="n">
        <v>195000</v>
      </c>
      <c r="I129" s="8">
        <f>G129*H129</f>
        <v/>
      </c>
    </row>
    <row r="130">
      <c r="A130" s="20" t="n">
        <v>123</v>
      </c>
      <c r="B130" s="21" t="inlineStr">
        <is>
          <t>DEN-LED-PHILIPS-18W</t>
        </is>
      </c>
      <c r="C130" s="21" t="inlineStr">
        <is>
          <t>Den downlight - Tang 1 Phong 16</t>
        </is>
      </c>
      <c r="D130" s="20" t="inlineStr">
        <is>
          <t>cai</t>
        </is>
      </c>
      <c r="E130" s="22" t="n">
        <v>6</v>
      </c>
      <c r="F130" s="23" t="n">
        <v>2</v>
      </c>
      <c r="G130" s="22">
        <f>E130*(1+F130/100)</f>
        <v/>
      </c>
      <c r="H130" s="24" t="n">
        <v>480000</v>
      </c>
      <c r="I130" s="24">
        <f>G130*H130</f>
        <v/>
      </c>
    </row>
    <row r="131">
      <c r="A131" s="5" t="n">
        <v>124</v>
      </c>
      <c r="B131" s="6" t="inlineStr">
        <is>
          <t>OCAM-SCHN-220</t>
        </is>
      </c>
      <c r="C131" s="6" t="inlineStr">
        <is>
          <t>O cam Schneider - Tang 1 Phong 16</t>
        </is>
      </c>
      <c r="D131" s="5" t="inlineStr">
        <is>
          <t>cai</t>
        </is>
      </c>
      <c r="E131" s="25" t="n">
        <v>4</v>
      </c>
      <c r="F131" s="26" t="n">
        <v>2</v>
      </c>
      <c r="G131" s="25">
        <f>E131*(1+F131/100)</f>
        <v/>
      </c>
      <c r="H131" s="8" t="n">
        <v>285000</v>
      </c>
      <c r="I131" s="8">
        <f>G131*H131</f>
        <v/>
      </c>
    </row>
    <row r="132">
      <c r="A132" s="20" t="n">
        <v>125</v>
      </c>
      <c r="B132" s="21" t="inlineStr">
        <is>
          <t>CONG-TAC-SCHN</t>
        </is>
      </c>
      <c r="C132" s="21" t="inlineStr">
        <is>
          <t>Cong tac - Tang 1 Phong 16</t>
        </is>
      </c>
      <c r="D132" s="20" t="inlineStr">
        <is>
          <t>cai</t>
        </is>
      </c>
      <c r="E132" s="22" t="n">
        <v>2</v>
      </c>
      <c r="F132" s="23" t="n">
        <v>2</v>
      </c>
      <c r="G132" s="22">
        <f>E132*(1+F132/100)</f>
        <v/>
      </c>
      <c r="H132" s="24" t="n">
        <v>195000</v>
      </c>
      <c r="I132" s="24">
        <f>G132*H132</f>
        <v/>
      </c>
    </row>
    <row r="133">
      <c r="A133" s="5" t="n">
        <v>126</v>
      </c>
      <c r="B133" s="6" t="inlineStr">
        <is>
          <t>DEN-LED-PHILIPS-18W</t>
        </is>
      </c>
      <c r="C133" s="6" t="inlineStr">
        <is>
          <t>Den downlight - Tang 2 Phong 1</t>
        </is>
      </c>
      <c r="D133" s="5" t="inlineStr">
        <is>
          <t>cai</t>
        </is>
      </c>
      <c r="E133" s="25" t="n">
        <v>6</v>
      </c>
      <c r="F133" s="26" t="n">
        <v>2</v>
      </c>
      <c r="G133" s="25">
        <f>E133*(1+F133/100)</f>
        <v/>
      </c>
      <c r="H133" s="8" t="n">
        <v>480000</v>
      </c>
      <c r="I133" s="8">
        <f>G133*H133</f>
        <v/>
      </c>
    </row>
    <row r="134">
      <c r="A134" s="20" t="n">
        <v>127</v>
      </c>
      <c r="B134" s="21" t="inlineStr">
        <is>
          <t>OCAM-SCHN-220</t>
        </is>
      </c>
      <c r="C134" s="21" t="inlineStr">
        <is>
          <t>O cam Schneider - Tang 2 Phong 1</t>
        </is>
      </c>
      <c r="D134" s="20" t="inlineStr">
        <is>
          <t>cai</t>
        </is>
      </c>
      <c r="E134" s="22" t="n">
        <v>4</v>
      </c>
      <c r="F134" s="23" t="n">
        <v>2</v>
      </c>
      <c r="G134" s="22">
        <f>E134*(1+F134/100)</f>
        <v/>
      </c>
      <c r="H134" s="24" t="n">
        <v>285000</v>
      </c>
      <c r="I134" s="24">
        <f>G134*H134</f>
        <v/>
      </c>
    </row>
    <row r="135">
      <c r="A135" s="5" t="n">
        <v>128</v>
      </c>
      <c r="B135" s="6" t="inlineStr">
        <is>
          <t>CONG-TAC-SCHN</t>
        </is>
      </c>
      <c r="C135" s="6" t="inlineStr">
        <is>
          <t>Cong tac - Tang 2 Phong 1</t>
        </is>
      </c>
      <c r="D135" s="5" t="inlineStr">
        <is>
          <t>cai</t>
        </is>
      </c>
      <c r="E135" s="25" t="n">
        <v>2</v>
      </c>
      <c r="F135" s="26" t="n">
        <v>2</v>
      </c>
      <c r="G135" s="25">
        <f>E135*(1+F135/100)</f>
        <v/>
      </c>
      <c r="H135" s="8" t="n">
        <v>195000</v>
      </c>
      <c r="I135" s="8">
        <f>G135*H135</f>
        <v/>
      </c>
    </row>
    <row r="136">
      <c r="A136" s="20" t="n">
        <v>129</v>
      </c>
      <c r="B136" s="21" t="inlineStr">
        <is>
          <t>DEN-LED-PHILIPS-18W</t>
        </is>
      </c>
      <c r="C136" s="21" t="inlineStr">
        <is>
          <t>Den downlight - Tang 2 Phong 2</t>
        </is>
      </c>
      <c r="D136" s="20" t="inlineStr">
        <is>
          <t>cai</t>
        </is>
      </c>
      <c r="E136" s="22" t="n">
        <v>6</v>
      </c>
      <c r="F136" s="23" t="n">
        <v>2</v>
      </c>
      <c r="G136" s="22">
        <f>E136*(1+F136/100)</f>
        <v/>
      </c>
      <c r="H136" s="24" t="n">
        <v>480000</v>
      </c>
      <c r="I136" s="24">
        <f>G136*H136</f>
        <v/>
      </c>
    </row>
    <row r="137">
      <c r="A137" s="5" t="n">
        <v>130</v>
      </c>
      <c r="B137" s="6" t="inlineStr">
        <is>
          <t>OCAM-SCHN-220</t>
        </is>
      </c>
      <c r="C137" s="6" t="inlineStr">
        <is>
          <t>O cam Schneider - Tang 2 Phong 2</t>
        </is>
      </c>
      <c r="D137" s="5" t="inlineStr">
        <is>
          <t>cai</t>
        </is>
      </c>
      <c r="E137" s="25" t="n">
        <v>4</v>
      </c>
      <c r="F137" s="26" t="n">
        <v>2</v>
      </c>
      <c r="G137" s="25">
        <f>E137*(1+F137/100)</f>
        <v/>
      </c>
      <c r="H137" s="8" t="n">
        <v>285000</v>
      </c>
      <c r="I137" s="8">
        <f>G137*H137</f>
        <v/>
      </c>
    </row>
    <row r="138">
      <c r="A138" s="20" t="n">
        <v>131</v>
      </c>
      <c r="B138" s="21" t="inlineStr">
        <is>
          <t>CONG-TAC-SCHN</t>
        </is>
      </c>
      <c r="C138" s="21" t="inlineStr">
        <is>
          <t>Cong tac - Tang 2 Phong 2</t>
        </is>
      </c>
      <c r="D138" s="20" t="inlineStr">
        <is>
          <t>cai</t>
        </is>
      </c>
      <c r="E138" s="22" t="n">
        <v>2</v>
      </c>
      <c r="F138" s="23" t="n">
        <v>2</v>
      </c>
      <c r="G138" s="22">
        <f>E138*(1+F138/100)</f>
        <v/>
      </c>
      <c r="H138" s="24" t="n">
        <v>195000</v>
      </c>
      <c r="I138" s="24">
        <f>G138*H138</f>
        <v/>
      </c>
    </row>
    <row r="139">
      <c r="A139" s="5" t="n">
        <v>132</v>
      </c>
      <c r="B139" s="6" t="inlineStr">
        <is>
          <t>DEN-LED-PHILIPS-18W</t>
        </is>
      </c>
      <c r="C139" s="6" t="inlineStr">
        <is>
          <t>Den downlight - Tang 2 Phong 3</t>
        </is>
      </c>
      <c r="D139" s="5" t="inlineStr">
        <is>
          <t>cai</t>
        </is>
      </c>
      <c r="E139" s="25" t="n">
        <v>6</v>
      </c>
      <c r="F139" s="26" t="n">
        <v>2</v>
      </c>
      <c r="G139" s="25">
        <f>E139*(1+F139/100)</f>
        <v/>
      </c>
      <c r="H139" s="8" t="n">
        <v>480000</v>
      </c>
      <c r="I139" s="8">
        <f>G139*H139</f>
        <v/>
      </c>
    </row>
    <row r="140">
      <c r="A140" s="20" t="n">
        <v>133</v>
      </c>
      <c r="B140" s="21" t="inlineStr">
        <is>
          <t>OCAM-SCHN-220</t>
        </is>
      </c>
      <c r="C140" s="21" t="inlineStr">
        <is>
          <t>O cam Schneider - Tang 2 Phong 3</t>
        </is>
      </c>
      <c r="D140" s="20" t="inlineStr">
        <is>
          <t>cai</t>
        </is>
      </c>
      <c r="E140" s="22" t="n">
        <v>4</v>
      </c>
      <c r="F140" s="23" t="n">
        <v>2</v>
      </c>
      <c r="G140" s="22">
        <f>E140*(1+F140/100)</f>
        <v/>
      </c>
      <c r="H140" s="24" t="n">
        <v>285000</v>
      </c>
      <c r="I140" s="24">
        <f>G140*H140</f>
        <v/>
      </c>
    </row>
    <row r="141">
      <c r="A141" s="5" t="n">
        <v>134</v>
      </c>
      <c r="B141" s="6" t="inlineStr">
        <is>
          <t>CONG-TAC-SCHN</t>
        </is>
      </c>
      <c r="C141" s="6" t="inlineStr">
        <is>
          <t>Cong tac - Tang 2 Phong 3</t>
        </is>
      </c>
      <c r="D141" s="5" t="inlineStr">
        <is>
          <t>cai</t>
        </is>
      </c>
      <c r="E141" s="25" t="n">
        <v>2</v>
      </c>
      <c r="F141" s="26" t="n">
        <v>2</v>
      </c>
      <c r="G141" s="25">
        <f>E141*(1+F141/100)</f>
        <v/>
      </c>
      <c r="H141" s="8" t="n">
        <v>195000</v>
      </c>
      <c r="I141" s="8">
        <f>G141*H141</f>
        <v/>
      </c>
    </row>
    <row r="142">
      <c r="A142" s="20" t="n">
        <v>135</v>
      </c>
      <c r="B142" s="21" t="inlineStr">
        <is>
          <t>DEN-LED-PHILIPS-18W</t>
        </is>
      </c>
      <c r="C142" s="21" t="inlineStr">
        <is>
          <t>Den downlight - Tang 2 Phong 4</t>
        </is>
      </c>
      <c r="D142" s="20" t="inlineStr">
        <is>
          <t>cai</t>
        </is>
      </c>
      <c r="E142" s="22" t="n">
        <v>6</v>
      </c>
      <c r="F142" s="23" t="n">
        <v>2</v>
      </c>
      <c r="G142" s="22">
        <f>E142*(1+F142/100)</f>
        <v/>
      </c>
      <c r="H142" s="24" t="n">
        <v>480000</v>
      </c>
      <c r="I142" s="24">
        <f>G142*H142</f>
        <v/>
      </c>
    </row>
    <row r="143">
      <c r="A143" s="5" t="n">
        <v>136</v>
      </c>
      <c r="B143" s="6" t="inlineStr">
        <is>
          <t>OCAM-SCHN-220</t>
        </is>
      </c>
      <c r="C143" s="6" t="inlineStr">
        <is>
          <t>O cam Schneider - Tang 2 Phong 4</t>
        </is>
      </c>
      <c r="D143" s="5" t="inlineStr">
        <is>
          <t>cai</t>
        </is>
      </c>
      <c r="E143" s="25" t="n">
        <v>4</v>
      </c>
      <c r="F143" s="26" t="n">
        <v>2</v>
      </c>
      <c r="G143" s="25">
        <f>E143*(1+F143/100)</f>
        <v/>
      </c>
      <c r="H143" s="8" t="n">
        <v>285000</v>
      </c>
      <c r="I143" s="8">
        <f>G143*H143</f>
        <v/>
      </c>
    </row>
    <row r="144">
      <c r="A144" s="20" t="n">
        <v>137</v>
      </c>
      <c r="B144" s="21" t="inlineStr">
        <is>
          <t>CONG-TAC-SCHN</t>
        </is>
      </c>
      <c r="C144" s="21" t="inlineStr">
        <is>
          <t>Cong tac - Tang 2 Phong 4</t>
        </is>
      </c>
      <c r="D144" s="20" t="inlineStr">
        <is>
          <t>cai</t>
        </is>
      </c>
      <c r="E144" s="22" t="n">
        <v>2</v>
      </c>
      <c r="F144" s="23" t="n">
        <v>2</v>
      </c>
      <c r="G144" s="22">
        <f>E144*(1+F144/100)</f>
        <v/>
      </c>
      <c r="H144" s="24" t="n">
        <v>195000</v>
      </c>
      <c r="I144" s="24">
        <f>G144*H144</f>
        <v/>
      </c>
    </row>
    <row r="145">
      <c r="A145" s="5" t="n">
        <v>138</v>
      </c>
      <c r="B145" s="6" t="inlineStr">
        <is>
          <t>DEN-LED-PHILIPS-18W</t>
        </is>
      </c>
      <c r="C145" s="6" t="inlineStr">
        <is>
          <t>Den downlight - Tang 2 Phong 5</t>
        </is>
      </c>
      <c r="D145" s="5" t="inlineStr">
        <is>
          <t>cai</t>
        </is>
      </c>
      <c r="E145" s="25" t="n">
        <v>6</v>
      </c>
      <c r="F145" s="26" t="n">
        <v>2</v>
      </c>
      <c r="G145" s="25">
        <f>E145*(1+F145/100)</f>
        <v/>
      </c>
      <c r="H145" s="8" t="n">
        <v>480000</v>
      </c>
      <c r="I145" s="8">
        <f>G145*H145</f>
        <v/>
      </c>
    </row>
    <row r="146">
      <c r="A146" s="20" t="n">
        <v>139</v>
      </c>
      <c r="B146" s="21" t="inlineStr">
        <is>
          <t>OCAM-SCHN-220</t>
        </is>
      </c>
      <c r="C146" s="21" t="inlineStr">
        <is>
          <t>O cam Schneider - Tang 2 Phong 5</t>
        </is>
      </c>
      <c r="D146" s="20" t="inlineStr">
        <is>
          <t>cai</t>
        </is>
      </c>
      <c r="E146" s="22" t="n">
        <v>4</v>
      </c>
      <c r="F146" s="23" t="n">
        <v>2</v>
      </c>
      <c r="G146" s="22">
        <f>E146*(1+F146/100)</f>
        <v/>
      </c>
      <c r="H146" s="24" t="n">
        <v>285000</v>
      </c>
      <c r="I146" s="24">
        <f>G146*H146</f>
        <v/>
      </c>
    </row>
    <row r="147">
      <c r="A147" s="5" t="n">
        <v>140</v>
      </c>
      <c r="B147" s="6" t="inlineStr">
        <is>
          <t>CONG-TAC-SCHN</t>
        </is>
      </c>
      <c r="C147" s="6" t="inlineStr">
        <is>
          <t>Cong tac - Tang 2 Phong 5</t>
        </is>
      </c>
      <c r="D147" s="5" t="inlineStr">
        <is>
          <t>cai</t>
        </is>
      </c>
      <c r="E147" s="25" t="n">
        <v>2</v>
      </c>
      <c r="F147" s="26" t="n">
        <v>2</v>
      </c>
      <c r="G147" s="25">
        <f>E147*(1+F147/100)</f>
        <v/>
      </c>
      <c r="H147" s="8" t="n">
        <v>195000</v>
      </c>
      <c r="I147" s="8">
        <f>G147*H147</f>
        <v/>
      </c>
    </row>
    <row r="148">
      <c r="A148" s="20" t="n">
        <v>141</v>
      </c>
      <c r="B148" s="21" t="inlineStr">
        <is>
          <t>DEN-LED-PHILIPS-18W</t>
        </is>
      </c>
      <c r="C148" s="21" t="inlineStr">
        <is>
          <t>Den downlight - Tang 2 Phong 6</t>
        </is>
      </c>
      <c r="D148" s="20" t="inlineStr">
        <is>
          <t>cai</t>
        </is>
      </c>
      <c r="E148" s="22" t="n">
        <v>6</v>
      </c>
      <c r="F148" s="23" t="n">
        <v>2</v>
      </c>
      <c r="G148" s="22">
        <f>E148*(1+F148/100)</f>
        <v/>
      </c>
      <c r="H148" s="24" t="n">
        <v>480000</v>
      </c>
      <c r="I148" s="24">
        <f>G148*H148</f>
        <v/>
      </c>
    </row>
    <row r="149">
      <c r="A149" s="5" t="n">
        <v>142</v>
      </c>
      <c r="B149" s="6" t="inlineStr">
        <is>
          <t>OCAM-SCHN-220</t>
        </is>
      </c>
      <c r="C149" s="6" t="inlineStr">
        <is>
          <t>O cam Schneider - Tang 2 Phong 6</t>
        </is>
      </c>
      <c r="D149" s="5" t="inlineStr">
        <is>
          <t>cai</t>
        </is>
      </c>
      <c r="E149" s="25" t="n">
        <v>4</v>
      </c>
      <c r="F149" s="26" t="n">
        <v>2</v>
      </c>
      <c r="G149" s="25">
        <f>E149*(1+F149/100)</f>
        <v/>
      </c>
      <c r="H149" s="8" t="n">
        <v>285000</v>
      </c>
      <c r="I149" s="8">
        <f>G149*H149</f>
        <v/>
      </c>
    </row>
    <row r="150">
      <c r="A150" s="20" t="n">
        <v>143</v>
      </c>
      <c r="B150" s="21" t="inlineStr">
        <is>
          <t>CONG-TAC-SCHN</t>
        </is>
      </c>
      <c r="C150" s="21" t="inlineStr">
        <is>
          <t>Cong tac - Tang 2 Phong 6</t>
        </is>
      </c>
      <c r="D150" s="20" t="inlineStr">
        <is>
          <t>cai</t>
        </is>
      </c>
      <c r="E150" s="22" t="n">
        <v>2</v>
      </c>
      <c r="F150" s="23" t="n">
        <v>2</v>
      </c>
      <c r="G150" s="22">
        <f>E150*(1+F150/100)</f>
        <v/>
      </c>
      <c r="H150" s="24" t="n">
        <v>195000</v>
      </c>
      <c r="I150" s="24">
        <f>G150*H150</f>
        <v/>
      </c>
    </row>
    <row r="151">
      <c r="A151" s="5" t="n">
        <v>144</v>
      </c>
      <c r="B151" s="6" t="inlineStr">
        <is>
          <t>DEN-LED-PHILIPS-18W</t>
        </is>
      </c>
      <c r="C151" s="6" t="inlineStr">
        <is>
          <t>Den downlight - Tang 2 Phong 7</t>
        </is>
      </c>
      <c r="D151" s="5" t="inlineStr">
        <is>
          <t>cai</t>
        </is>
      </c>
      <c r="E151" s="25" t="n">
        <v>6</v>
      </c>
      <c r="F151" s="26" t="n">
        <v>2</v>
      </c>
      <c r="G151" s="25">
        <f>E151*(1+F151/100)</f>
        <v/>
      </c>
      <c r="H151" s="8" t="n">
        <v>480000</v>
      </c>
      <c r="I151" s="8">
        <f>G151*H151</f>
        <v/>
      </c>
    </row>
    <row r="152">
      <c r="A152" s="20" t="n">
        <v>145</v>
      </c>
      <c r="B152" s="21" t="inlineStr">
        <is>
          <t>OCAM-SCHN-220</t>
        </is>
      </c>
      <c r="C152" s="21" t="inlineStr">
        <is>
          <t>O cam Schneider - Tang 2 Phong 7</t>
        </is>
      </c>
      <c r="D152" s="20" t="inlineStr">
        <is>
          <t>cai</t>
        </is>
      </c>
      <c r="E152" s="22" t="n">
        <v>4</v>
      </c>
      <c r="F152" s="23" t="n">
        <v>2</v>
      </c>
      <c r="G152" s="22">
        <f>E152*(1+F152/100)</f>
        <v/>
      </c>
      <c r="H152" s="24" t="n">
        <v>285000</v>
      </c>
      <c r="I152" s="24">
        <f>G152*H152</f>
        <v/>
      </c>
    </row>
    <row r="153">
      <c r="A153" s="5" t="n">
        <v>146</v>
      </c>
      <c r="B153" s="6" t="inlineStr">
        <is>
          <t>CONG-TAC-SCHN</t>
        </is>
      </c>
      <c r="C153" s="6" t="inlineStr">
        <is>
          <t>Cong tac - Tang 2 Phong 7</t>
        </is>
      </c>
      <c r="D153" s="5" t="inlineStr">
        <is>
          <t>cai</t>
        </is>
      </c>
      <c r="E153" s="25" t="n">
        <v>2</v>
      </c>
      <c r="F153" s="26" t="n">
        <v>2</v>
      </c>
      <c r="G153" s="25">
        <f>E153*(1+F153/100)</f>
        <v/>
      </c>
      <c r="H153" s="8" t="n">
        <v>195000</v>
      </c>
      <c r="I153" s="8">
        <f>G153*H153</f>
        <v/>
      </c>
    </row>
    <row r="154">
      <c r="A154" s="20" t="n">
        <v>147</v>
      </c>
      <c r="B154" s="21" t="inlineStr">
        <is>
          <t>DEN-LED-PHILIPS-18W</t>
        </is>
      </c>
      <c r="C154" s="21" t="inlineStr">
        <is>
          <t>Den downlight - Tang 2 Phong 8</t>
        </is>
      </c>
      <c r="D154" s="20" t="inlineStr">
        <is>
          <t>cai</t>
        </is>
      </c>
      <c r="E154" s="22" t="n">
        <v>6</v>
      </c>
      <c r="F154" s="23" t="n">
        <v>2</v>
      </c>
      <c r="G154" s="22">
        <f>E154*(1+F154/100)</f>
        <v/>
      </c>
      <c r="H154" s="24" t="n">
        <v>480000</v>
      </c>
      <c r="I154" s="24">
        <f>G154*H154</f>
        <v/>
      </c>
    </row>
    <row r="155">
      <c r="A155" s="5" t="n">
        <v>148</v>
      </c>
      <c r="B155" s="6" t="inlineStr">
        <is>
          <t>OCAM-SCHN-220</t>
        </is>
      </c>
      <c r="C155" s="6" t="inlineStr">
        <is>
          <t>O cam Schneider - Tang 2 Phong 8</t>
        </is>
      </c>
      <c r="D155" s="5" t="inlineStr">
        <is>
          <t>cai</t>
        </is>
      </c>
      <c r="E155" s="25" t="n">
        <v>4</v>
      </c>
      <c r="F155" s="26" t="n">
        <v>2</v>
      </c>
      <c r="G155" s="25">
        <f>E155*(1+F155/100)</f>
        <v/>
      </c>
      <c r="H155" s="8" t="n">
        <v>285000</v>
      </c>
      <c r="I155" s="8">
        <f>G155*H155</f>
        <v/>
      </c>
    </row>
    <row r="156">
      <c r="A156" s="20" t="n">
        <v>149</v>
      </c>
      <c r="B156" s="21" t="inlineStr">
        <is>
          <t>CONG-TAC-SCHN</t>
        </is>
      </c>
      <c r="C156" s="21" t="inlineStr">
        <is>
          <t>Cong tac - Tang 2 Phong 8</t>
        </is>
      </c>
      <c r="D156" s="20" t="inlineStr">
        <is>
          <t>cai</t>
        </is>
      </c>
      <c r="E156" s="22" t="n">
        <v>2</v>
      </c>
      <c r="F156" s="23" t="n">
        <v>2</v>
      </c>
      <c r="G156" s="22">
        <f>E156*(1+F156/100)</f>
        <v/>
      </c>
      <c r="H156" s="24" t="n">
        <v>195000</v>
      </c>
      <c r="I156" s="24">
        <f>G156*H156</f>
        <v/>
      </c>
    </row>
    <row r="157">
      <c r="A157" s="5" t="n">
        <v>150</v>
      </c>
      <c r="B157" s="6" t="inlineStr">
        <is>
          <t>DEN-LED-PHILIPS-18W</t>
        </is>
      </c>
      <c r="C157" s="6" t="inlineStr">
        <is>
          <t>Den downlight - Tang 2 Phong 9</t>
        </is>
      </c>
      <c r="D157" s="5" t="inlineStr">
        <is>
          <t>cai</t>
        </is>
      </c>
      <c r="E157" s="25" t="n">
        <v>6</v>
      </c>
      <c r="F157" s="26" t="n">
        <v>2</v>
      </c>
      <c r="G157" s="25">
        <f>E157*(1+F157/100)</f>
        <v/>
      </c>
      <c r="H157" s="8" t="n">
        <v>480000</v>
      </c>
      <c r="I157" s="8">
        <f>G157*H157</f>
        <v/>
      </c>
    </row>
    <row r="158">
      <c r="A158" s="20" t="n">
        <v>151</v>
      </c>
      <c r="B158" s="21" t="inlineStr">
        <is>
          <t>OCAM-SCHN-220</t>
        </is>
      </c>
      <c r="C158" s="21" t="inlineStr">
        <is>
          <t>O cam Schneider - Tang 2 Phong 9</t>
        </is>
      </c>
      <c r="D158" s="20" t="inlineStr">
        <is>
          <t>cai</t>
        </is>
      </c>
      <c r="E158" s="22" t="n">
        <v>4</v>
      </c>
      <c r="F158" s="23" t="n">
        <v>2</v>
      </c>
      <c r="G158" s="22">
        <f>E158*(1+F158/100)</f>
        <v/>
      </c>
      <c r="H158" s="24" t="n">
        <v>285000</v>
      </c>
      <c r="I158" s="24">
        <f>G158*H158</f>
        <v/>
      </c>
    </row>
    <row r="159">
      <c r="A159" s="5" t="n">
        <v>152</v>
      </c>
      <c r="B159" s="6" t="inlineStr">
        <is>
          <t>CONG-TAC-SCHN</t>
        </is>
      </c>
      <c r="C159" s="6" t="inlineStr">
        <is>
          <t>Cong tac - Tang 2 Phong 9</t>
        </is>
      </c>
      <c r="D159" s="5" t="inlineStr">
        <is>
          <t>cai</t>
        </is>
      </c>
      <c r="E159" s="25" t="n">
        <v>2</v>
      </c>
      <c r="F159" s="26" t="n">
        <v>2</v>
      </c>
      <c r="G159" s="25">
        <f>E159*(1+F159/100)</f>
        <v/>
      </c>
      <c r="H159" s="8" t="n">
        <v>195000</v>
      </c>
      <c r="I159" s="8">
        <f>G159*H159</f>
        <v/>
      </c>
    </row>
    <row r="160">
      <c r="A160" s="20" t="n">
        <v>153</v>
      </c>
      <c r="B160" s="21" t="inlineStr">
        <is>
          <t>DEN-LED-PHILIPS-18W</t>
        </is>
      </c>
      <c r="C160" s="21" t="inlineStr">
        <is>
          <t>Den downlight - Tang 2 Phong 10</t>
        </is>
      </c>
      <c r="D160" s="20" t="inlineStr">
        <is>
          <t>cai</t>
        </is>
      </c>
      <c r="E160" s="22" t="n">
        <v>6</v>
      </c>
      <c r="F160" s="23" t="n">
        <v>2</v>
      </c>
      <c r="G160" s="22">
        <f>E160*(1+F160/100)</f>
        <v/>
      </c>
      <c r="H160" s="24" t="n">
        <v>480000</v>
      </c>
      <c r="I160" s="24">
        <f>G160*H160</f>
        <v/>
      </c>
    </row>
    <row r="161">
      <c r="A161" s="5" t="n">
        <v>154</v>
      </c>
      <c r="B161" s="6" t="inlineStr">
        <is>
          <t>OCAM-SCHN-220</t>
        </is>
      </c>
      <c r="C161" s="6" t="inlineStr">
        <is>
          <t>O cam Schneider - Tang 2 Phong 10</t>
        </is>
      </c>
      <c r="D161" s="5" t="inlineStr">
        <is>
          <t>cai</t>
        </is>
      </c>
      <c r="E161" s="25" t="n">
        <v>4</v>
      </c>
      <c r="F161" s="26" t="n">
        <v>2</v>
      </c>
      <c r="G161" s="25">
        <f>E161*(1+F161/100)</f>
        <v/>
      </c>
      <c r="H161" s="8" t="n">
        <v>285000</v>
      </c>
      <c r="I161" s="8">
        <f>G161*H161</f>
        <v/>
      </c>
    </row>
    <row r="162">
      <c r="A162" s="20" t="n">
        <v>155</v>
      </c>
      <c r="B162" s="21" t="inlineStr">
        <is>
          <t>CONG-TAC-SCHN</t>
        </is>
      </c>
      <c r="C162" s="21" t="inlineStr">
        <is>
          <t>Cong tac - Tang 2 Phong 10</t>
        </is>
      </c>
      <c r="D162" s="20" t="inlineStr">
        <is>
          <t>cai</t>
        </is>
      </c>
      <c r="E162" s="22" t="n">
        <v>2</v>
      </c>
      <c r="F162" s="23" t="n">
        <v>2</v>
      </c>
      <c r="G162" s="22">
        <f>E162*(1+F162/100)</f>
        <v/>
      </c>
      <c r="H162" s="24" t="n">
        <v>195000</v>
      </c>
      <c r="I162" s="24">
        <f>G162*H162</f>
        <v/>
      </c>
    </row>
    <row r="163">
      <c r="A163" s="5" t="n">
        <v>156</v>
      </c>
      <c r="B163" s="6" t="inlineStr">
        <is>
          <t>DEN-LED-PHILIPS-18W</t>
        </is>
      </c>
      <c r="C163" s="6" t="inlineStr">
        <is>
          <t>Den downlight - Tang 2 Phong 11</t>
        </is>
      </c>
      <c r="D163" s="5" t="inlineStr">
        <is>
          <t>cai</t>
        </is>
      </c>
      <c r="E163" s="25" t="n">
        <v>6</v>
      </c>
      <c r="F163" s="26" t="n">
        <v>2</v>
      </c>
      <c r="G163" s="25">
        <f>E163*(1+F163/100)</f>
        <v/>
      </c>
      <c r="H163" s="8" t="n">
        <v>480000</v>
      </c>
      <c r="I163" s="8">
        <f>G163*H163</f>
        <v/>
      </c>
    </row>
    <row r="164">
      <c r="A164" s="20" t="n">
        <v>157</v>
      </c>
      <c r="B164" s="21" t="inlineStr">
        <is>
          <t>OCAM-SCHN-220</t>
        </is>
      </c>
      <c r="C164" s="21" t="inlineStr">
        <is>
          <t>O cam Schneider - Tang 2 Phong 11</t>
        </is>
      </c>
      <c r="D164" s="20" t="inlineStr">
        <is>
          <t>cai</t>
        </is>
      </c>
      <c r="E164" s="22" t="n">
        <v>4</v>
      </c>
      <c r="F164" s="23" t="n">
        <v>2</v>
      </c>
      <c r="G164" s="22">
        <f>E164*(1+F164/100)</f>
        <v/>
      </c>
      <c r="H164" s="24" t="n">
        <v>285000</v>
      </c>
      <c r="I164" s="24">
        <f>G164*H164</f>
        <v/>
      </c>
    </row>
    <row r="165">
      <c r="A165" s="5" t="n">
        <v>158</v>
      </c>
      <c r="B165" s="6" t="inlineStr">
        <is>
          <t>CONG-TAC-SCHN</t>
        </is>
      </c>
      <c r="C165" s="6" t="inlineStr">
        <is>
          <t>Cong tac - Tang 2 Phong 11</t>
        </is>
      </c>
      <c r="D165" s="5" t="inlineStr">
        <is>
          <t>cai</t>
        </is>
      </c>
      <c r="E165" s="25" t="n">
        <v>2</v>
      </c>
      <c r="F165" s="26" t="n">
        <v>2</v>
      </c>
      <c r="G165" s="25">
        <f>E165*(1+F165/100)</f>
        <v/>
      </c>
      <c r="H165" s="8" t="n">
        <v>195000</v>
      </c>
      <c r="I165" s="8">
        <f>G165*H165</f>
        <v/>
      </c>
    </row>
    <row r="166">
      <c r="A166" s="20" t="n">
        <v>159</v>
      </c>
      <c r="B166" s="21" t="inlineStr">
        <is>
          <t>DEN-LED-PHILIPS-18W</t>
        </is>
      </c>
      <c r="C166" s="21" t="inlineStr">
        <is>
          <t>Den downlight - Tang 2 Phong 12</t>
        </is>
      </c>
      <c r="D166" s="20" t="inlineStr">
        <is>
          <t>cai</t>
        </is>
      </c>
      <c r="E166" s="22" t="n">
        <v>6</v>
      </c>
      <c r="F166" s="23" t="n">
        <v>2</v>
      </c>
      <c r="G166" s="22">
        <f>E166*(1+F166/100)</f>
        <v/>
      </c>
      <c r="H166" s="24" t="n">
        <v>480000</v>
      </c>
      <c r="I166" s="24">
        <f>G166*H166</f>
        <v/>
      </c>
    </row>
    <row r="167">
      <c r="A167" s="5" t="n">
        <v>160</v>
      </c>
      <c r="B167" s="6" t="inlineStr">
        <is>
          <t>OCAM-SCHN-220</t>
        </is>
      </c>
      <c r="C167" s="6" t="inlineStr">
        <is>
          <t>O cam Schneider - Tang 2 Phong 12</t>
        </is>
      </c>
      <c r="D167" s="5" t="inlineStr">
        <is>
          <t>cai</t>
        </is>
      </c>
      <c r="E167" s="25" t="n">
        <v>4</v>
      </c>
      <c r="F167" s="26" t="n">
        <v>2</v>
      </c>
      <c r="G167" s="25">
        <f>E167*(1+F167/100)</f>
        <v/>
      </c>
      <c r="H167" s="8" t="n">
        <v>285000</v>
      </c>
      <c r="I167" s="8">
        <f>G167*H167</f>
        <v/>
      </c>
    </row>
    <row r="168">
      <c r="A168" s="20" t="n">
        <v>161</v>
      </c>
      <c r="B168" s="21" t="inlineStr">
        <is>
          <t>CONG-TAC-SCHN</t>
        </is>
      </c>
      <c r="C168" s="21" t="inlineStr">
        <is>
          <t>Cong tac - Tang 2 Phong 12</t>
        </is>
      </c>
      <c r="D168" s="20" t="inlineStr">
        <is>
          <t>cai</t>
        </is>
      </c>
      <c r="E168" s="22" t="n">
        <v>2</v>
      </c>
      <c r="F168" s="23" t="n">
        <v>2</v>
      </c>
      <c r="G168" s="22">
        <f>E168*(1+F168/100)</f>
        <v/>
      </c>
      <c r="H168" s="24" t="n">
        <v>195000</v>
      </c>
      <c r="I168" s="24">
        <f>G168*H168</f>
        <v/>
      </c>
    </row>
    <row r="169">
      <c r="A169" s="5" t="n">
        <v>162</v>
      </c>
      <c r="B169" s="6" t="inlineStr">
        <is>
          <t>DEN-LED-PHILIPS-18W</t>
        </is>
      </c>
      <c r="C169" s="6" t="inlineStr">
        <is>
          <t>Den downlight - Tang 2 Phong 13</t>
        </is>
      </c>
      <c r="D169" s="5" t="inlineStr">
        <is>
          <t>cai</t>
        </is>
      </c>
      <c r="E169" s="25" t="n">
        <v>6</v>
      </c>
      <c r="F169" s="26" t="n">
        <v>2</v>
      </c>
      <c r="G169" s="25">
        <f>E169*(1+F169/100)</f>
        <v/>
      </c>
      <c r="H169" s="8" t="n">
        <v>480000</v>
      </c>
      <c r="I169" s="8">
        <f>G169*H169</f>
        <v/>
      </c>
    </row>
    <row r="170">
      <c r="A170" s="20" t="n">
        <v>163</v>
      </c>
      <c r="B170" s="21" t="inlineStr">
        <is>
          <t>OCAM-SCHN-220</t>
        </is>
      </c>
      <c r="C170" s="21" t="inlineStr">
        <is>
          <t>O cam Schneider - Tang 2 Phong 13</t>
        </is>
      </c>
      <c r="D170" s="20" t="inlineStr">
        <is>
          <t>cai</t>
        </is>
      </c>
      <c r="E170" s="22" t="n">
        <v>4</v>
      </c>
      <c r="F170" s="23" t="n">
        <v>2</v>
      </c>
      <c r="G170" s="22">
        <f>E170*(1+F170/100)</f>
        <v/>
      </c>
      <c r="H170" s="24" t="n">
        <v>285000</v>
      </c>
      <c r="I170" s="24">
        <f>G170*H170</f>
        <v/>
      </c>
    </row>
    <row r="171">
      <c r="A171" s="5" t="n">
        <v>164</v>
      </c>
      <c r="B171" s="6" t="inlineStr">
        <is>
          <t>CONG-TAC-SCHN</t>
        </is>
      </c>
      <c r="C171" s="6" t="inlineStr">
        <is>
          <t>Cong tac - Tang 2 Phong 13</t>
        </is>
      </c>
      <c r="D171" s="5" t="inlineStr">
        <is>
          <t>cai</t>
        </is>
      </c>
      <c r="E171" s="25" t="n">
        <v>2</v>
      </c>
      <c r="F171" s="26" t="n">
        <v>2</v>
      </c>
      <c r="G171" s="25">
        <f>E171*(1+F171/100)</f>
        <v/>
      </c>
      <c r="H171" s="8" t="n">
        <v>195000</v>
      </c>
      <c r="I171" s="8">
        <f>G171*H171</f>
        <v/>
      </c>
    </row>
    <row r="172">
      <c r="A172" s="20" t="n">
        <v>165</v>
      </c>
      <c r="B172" s="21" t="inlineStr">
        <is>
          <t>DEN-LED-PHILIPS-18W</t>
        </is>
      </c>
      <c r="C172" s="21" t="inlineStr">
        <is>
          <t>Den downlight - Tang 2 Phong 14</t>
        </is>
      </c>
      <c r="D172" s="20" t="inlineStr">
        <is>
          <t>cai</t>
        </is>
      </c>
      <c r="E172" s="22" t="n">
        <v>6</v>
      </c>
      <c r="F172" s="23" t="n">
        <v>2</v>
      </c>
      <c r="G172" s="22">
        <f>E172*(1+F172/100)</f>
        <v/>
      </c>
      <c r="H172" s="24" t="n">
        <v>480000</v>
      </c>
      <c r="I172" s="24">
        <f>G172*H172</f>
        <v/>
      </c>
    </row>
    <row r="173">
      <c r="A173" s="5" t="n">
        <v>166</v>
      </c>
      <c r="B173" s="6" t="inlineStr">
        <is>
          <t>OCAM-SCHN-220</t>
        </is>
      </c>
      <c r="C173" s="6" t="inlineStr">
        <is>
          <t>O cam Schneider - Tang 2 Phong 14</t>
        </is>
      </c>
      <c r="D173" s="5" t="inlineStr">
        <is>
          <t>cai</t>
        </is>
      </c>
      <c r="E173" s="25" t="n">
        <v>4</v>
      </c>
      <c r="F173" s="26" t="n">
        <v>2</v>
      </c>
      <c r="G173" s="25">
        <f>E173*(1+F173/100)</f>
        <v/>
      </c>
      <c r="H173" s="8" t="n">
        <v>285000</v>
      </c>
      <c r="I173" s="8">
        <f>G173*H173</f>
        <v/>
      </c>
    </row>
    <row r="174">
      <c r="A174" s="20" t="n">
        <v>167</v>
      </c>
      <c r="B174" s="21" t="inlineStr">
        <is>
          <t>CONG-TAC-SCHN</t>
        </is>
      </c>
      <c r="C174" s="21" t="inlineStr">
        <is>
          <t>Cong tac - Tang 2 Phong 14</t>
        </is>
      </c>
      <c r="D174" s="20" t="inlineStr">
        <is>
          <t>cai</t>
        </is>
      </c>
      <c r="E174" s="22" t="n">
        <v>2</v>
      </c>
      <c r="F174" s="23" t="n">
        <v>2</v>
      </c>
      <c r="G174" s="22">
        <f>E174*(1+F174/100)</f>
        <v/>
      </c>
      <c r="H174" s="24" t="n">
        <v>195000</v>
      </c>
      <c r="I174" s="24">
        <f>G174*H174</f>
        <v/>
      </c>
    </row>
    <row r="175">
      <c r="A175" s="5" t="n">
        <v>168</v>
      </c>
      <c r="B175" s="6" t="inlineStr">
        <is>
          <t>DEN-LED-PHILIPS-18W</t>
        </is>
      </c>
      <c r="C175" s="6" t="inlineStr">
        <is>
          <t>Den downlight - Tang 2 Phong 15</t>
        </is>
      </c>
      <c r="D175" s="5" t="inlineStr">
        <is>
          <t>cai</t>
        </is>
      </c>
      <c r="E175" s="25" t="n">
        <v>6</v>
      </c>
      <c r="F175" s="26" t="n">
        <v>2</v>
      </c>
      <c r="G175" s="25">
        <f>E175*(1+F175/100)</f>
        <v/>
      </c>
      <c r="H175" s="8" t="n">
        <v>480000</v>
      </c>
      <c r="I175" s="8">
        <f>G175*H175</f>
        <v/>
      </c>
    </row>
    <row r="176">
      <c r="A176" s="20" t="n">
        <v>169</v>
      </c>
      <c r="B176" s="21" t="inlineStr">
        <is>
          <t>OCAM-SCHN-220</t>
        </is>
      </c>
      <c r="C176" s="21" t="inlineStr">
        <is>
          <t>O cam Schneider - Tang 2 Phong 15</t>
        </is>
      </c>
      <c r="D176" s="20" t="inlineStr">
        <is>
          <t>cai</t>
        </is>
      </c>
      <c r="E176" s="22" t="n">
        <v>4</v>
      </c>
      <c r="F176" s="23" t="n">
        <v>2</v>
      </c>
      <c r="G176" s="22">
        <f>E176*(1+F176/100)</f>
        <v/>
      </c>
      <c r="H176" s="24" t="n">
        <v>285000</v>
      </c>
      <c r="I176" s="24">
        <f>G176*H176</f>
        <v/>
      </c>
    </row>
    <row r="177">
      <c r="A177" s="5" t="n">
        <v>170</v>
      </c>
      <c r="B177" s="6" t="inlineStr">
        <is>
          <t>CONG-TAC-SCHN</t>
        </is>
      </c>
      <c r="C177" s="6" t="inlineStr">
        <is>
          <t>Cong tac - Tang 2 Phong 15</t>
        </is>
      </c>
      <c r="D177" s="5" t="inlineStr">
        <is>
          <t>cai</t>
        </is>
      </c>
      <c r="E177" s="25" t="n">
        <v>2</v>
      </c>
      <c r="F177" s="26" t="n">
        <v>2</v>
      </c>
      <c r="G177" s="25">
        <f>E177*(1+F177/100)</f>
        <v/>
      </c>
      <c r="H177" s="8" t="n">
        <v>195000</v>
      </c>
      <c r="I177" s="8">
        <f>G177*H177</f>
        <v/>
      </c>
    </row>
    <row r="178">
      <c r="A178" s="20" t="n">
        <v>171</v>
      </c>
      <c r="B178" s="21" t="inlineStr">
        <is>
          <t>DEN-LED-PHILIPS-18W</t>
        </is>
      </c>
      <c r="C178" s="21" t="inlineStr">
        <is>
          <t>Den downlight - Tang 2 Phong 16</t>
        </is>
      </c>
      <c r="D178" s="20" t="inlineStr">
        <is>
          <t>cai</t>
        </is>
      </c>
      <c r="E178" s="22" t="n">
        <v>6</v>
      </c>
      <c r="F178" s="23" t="n">
        <v>2</v>
      </c>
      <c r="G178" s="22">
        <f>E178*(1+F178/100)</f>
        <v/>
      </c>
      <c r="H178" s="24" t="n">
        <v>480000</v>
      </c>
      <c r="I178" s="24">
        <f>G178*H178</f>
        <v/>
      </c>
    </row>
    <row r="179">
      <c r="A179" s="5" t="n">
        <v>172</v>
      </c>
      <c r="B179" s="6" t="inlineStr">
        <is>
          <t>OCAM-SCHN-220</t>
        </is>
      </c>
      <c r="C179" s="6" t="inlineStr">
        <is>
          <t>O cam Schneider - Tang 2 Phong 16</t>
        </is>
      </c>
      <c r="D179" s="5" t="inlineStr">
        <is>
          <t>cai</t>
        </is>
      </c>
      <c r="E179" s="25" t="n">
        <v>4</v>
      </c>
      <c r="F179" s="26" t="n">
        <v>2</v>
      </c>
      <c r="G179" s="25">
        <f>E179*(1+F179/100)</f>
        <v/>
      </c>
      <c r="H179" s="8" t="n">
        <v>285000</v>
      </c>
      <c r="I179" s="8">
        <f>G179*H179</f>
        <v/>
      </c>
    </row>
    <row r="180">
      <c r="A180" s="20" t="n">
        <v>173</v>
      </c>
      <c r="B180" s="21" t="inlineStr">
        <is>
          <t>CONG-TAC-SCHN</t>
        </is>
      </c>
      <c r="C180" s="21" t="inlineStr">
        <is>
          <t>Cong tac - Tang 2 Phong 16</t>
        </is>
      </c>
      <c r="D180" s="20" t="inlineStr">
        <is>
          <t>cai</t>
        </is>
      </c>
      <c r="E180" s="22" t="n">
        <v>2</v>
      </c>
      <c r="F180" s="23" t="n">
        <v>2</v>
      </c>
      <c r="G180" s="22">
        <f>E180*(1+F180/100)</f>
        <v/>
      </c>
      <c r="H180" s="24" t="n">
        <v>195000</v>
      </c>
      <c r="I180" s="24">
        <f>G180*H180</f>
        <v/>
      </c>
    </row>
    <row r="181">
      <c r="A181" s="5" t="n">
        <v>174</v>
      </c>
      <c r="B181" s="6" t="inlineStr">
        <is>
          <t>DEN-LED-PHILIPS-18W</t>
        </is>
      </c>
      <c r="C181" s="6" t="inlineStr">
        <is>
          <t>Den downlight - Tang 3 Phong 1</t>
        </is>
      </c>
      <c r="D181" s="5" t="inlineStr">
        <is>
          <t>cai</t>
        </is>
      </c>
      <c r="E181" s="25" t="n">
        <v>6</v>
      </c>
      <c r="F181" s="26" t="n">
        <v>2</v>
      </c>
      <c r="G181" s="25">
        <f>E181*(1+F181/100)</f>
        <v/>
      </c>
      <c r="H181" s="8" t="n">
        <v>480000</v>
      </c>
      <c r="I181" s="8">
        <f>G181*H181</f>
        <v/>
      </c>
    </row>
    <row r="182">
      <c r="A182" s="20" t="n">
        <v>175</v>
      </c>
      <c r="B182" s="21" t="inlineStr">
        <is>
          <t>OCAM-SCHN-220</t>
        </is>
      </c>
      <c r="C182" s="21" t="inlineStr">
        <is>
          <t>O cam Schneider - Tang 3 Phong 1</t>
        </is>
      </c>
      <c r="D182" s="20" t="inlineStr">
        <is>
          <t>cai</t>
        </is>
      </c>
      <c r="E182" s="22" t="n">
        <v>4</v>
      </c>
      <c r="F182" s="23" t="n">
        <v>2</v>
      </c>
      <c r="G182" s="22">
        <f>E182*(1+F182/100)</f>
        <v/>
      </c>
      <c r="H182" s="24" t="n">
        <v>285000</v>
      </c>
      <c r="I182" s="24">
        <f>G182*H182</f>
        <v/>
      </c>
    </row>
    <row r="183">
      <c r="A183" s="5" t="n">
        <v>176</v>
      </c>
      <c r="B183" s="6" t="inlineStr">
        <is>
          <t>CONG-TAC-SCHN</t>
        </is>
      </c>
      <c r="C183" s="6" t="inlineStr">
        <is>
          <t>Cong tac - Tang 3 Phong 1</t>
        </is>
      </c>
      <c r="D183" s="5" t="inlineStr">
        <is>
          <t>cai</t>
        </is>
      </c>
      <c r="E183" s="25" t="n">
        <v>2</v>
      </c>
      <c r="F183" s="26" t="n">
        <v>2</v>
      </c>
      <c r="G183" s="25">
        <f>E183*(1+F183/100)</f>
        <v/>
      </c>
      <c r="H183" s="8" t="n">
        <v>195000</v>
      </c>
      <c r="I183" s="8">
        <f>G183*H183</f>
        <v/>
      </c>
    </row>
    <row r="184">
      <c r="A184" s="20" t="n">
        <v>177</v>
      </c>
      <c r="B184" s="21" t="inlineStr">
        <is>
          <t>DEN-LED-PHILIPS-18W</t>
        </is>
      </c>
      <c r="C184" s="21" t="inlineStr">
        <is>
          <t>Den downlight - Tang 3 Phong 2</t>
        </is>
      </c>
      <c r="D184" s="20" t="inlineStr">
        <is>
          <t>cai</t>
        </is>
      </c>
      <c r="E184" s="22" t="n">
        <v>6</v>
      </c>
      <c r="F184" s="23" t="n">
        <v>2</v>
      </c>
      <c r="G184" s="22">
        <f>E184*(1+F184/100)</f>
        <v/>
      </c>
      <c r="H184" s="24" t="n">
        <v>480000</v>
      </c>
      <c r="I184" s="24">
        <f>G184*H184</f>
        <v/>
      </c>
    </row>
    <row r="185">
      <c r="A185" s="5" t="n">
        <v>178</v>
      </c>
      <c r="B185" s="6" t="inlineStr">
        <is>
          <t>OCAM-SCHN-220</t>
        </is>
      </c>
      <c r="C185" s="6" t="inlineStr">
        <is>
          <t>O cam Schneider - Tang 3 Phong 2</t>
        </is>
      </c>
      <c r="D185" s="5" t="inlineStr">
        <is>
          <t>cai</t>
        </is>
      </c>
      <c r="E185" s="25" t="n">
        <v>4</v>
      </c>
      <c r="F185" s="26" t="n">
        <v>2</v>
      </c>
      <c r="G185" s="25">
        <f>E185*(1+F185/100)</f>
        <v/>
      </c>
      <c r="H185" s="8" t="n">
        <v>285000</v>
      </c>
      <c r="I185" s="8">
        <f>G185*H185</f>
        <v/>
      </c>
    </row>
    <row r="186">
      <c r="A186" s="20" t="n">
        <v>179</v>
      </c>
      <c r="B186" s="21" t="inlineStr">
        <is>
          <t>CONG-TAC-SCHN</t>
        </is>
      </c>
      <c r="C186" s="21" t="inlineStr">
        <is>
          <t>Cong tac - Tang 3 Phong 2</t>
        </is>
      </c>
      <c r="D186" s="20" t="inlineStr">
        <is>
          <t>cai</t>
        </is>
      </c>
      <c r="E186" s="22" t="n">
        <v>2</v>
      </c>
      <c r="F186" s="23" t="n">
        <v>2</v>
      </c>
      <c r="G186" s="22">
        <f>E186*(1+F186/100)</f>
        <v/>
      </c>
      <c r="H186" s="24" t="n">
        <v>195000</v>
      </c>
      <c r="I186" s="24">
        <f>G186*H186</f>
        <v/>
      </c>
    </row>
    <row r="187">
      <c r="A187" s="5" t="n">
        <v>180</v>
      </c>
      <c r="B187" s="6" t="inlineStr">
        <is>
          <t>DEN-LED-PHILIPS-18W</t>
        </is>
      </c>
      <c r="C187" s="6" t="inlineStr">
        <is>
          <t>Den downlight - Tang 3 Phong 3</t>
        </is>
      </c>
      <c r="D187" s="5" t="inlineStr">
        <is>
          <t>cai</t>
        </is>
      </c>
      <c r="E187" s="25" t="n">
        <v>6</v>
      </c>
      <c r="F187" s="26" t="n">
        <v>2</v>
      </c>
      <c r="G187" s="25">
        <f>E187*(1+F187/100)</f>
        <v/>
      </c>
      <c r="H187" s="8" t="n">
        <v>480000</v>
      </c>
      <c r="I187" s="8">
        <f>G187*H187</f>
        <v/>
      </c>
    </row>
    <row r="188">
      <c r="A188" s="20" t="n">
        <v>181</v>
      </c>
      <c r="B188" s="21" t="inlineStr">
        <is>
          <t>OCAM-SCHN-220</t>
        </is>
      </c>
      <c r="C188" s="21" t="inlineStr">
        <is>
          <t>O cam Schneider - Tang 3 Phong 3</t>
        </is>
      </c>
      <c r="D188" s="20" t="inlineStr">
        <is>
          <t>cai</t>
        </is>
      </c>
      <c r="E188" s="22" t="n">
        <v>4</v>
      </c>
      <c r="F188" s="23" t="n">
        <v>2</v>
      </c>
      <c r="G188" s="22">
        <f>E188*(1+F188/100)</f>
        <v/>
      </c>
      <c r="H188" s="24" t="n">
        <v>285000</v>
      </c>
      <c r="I188" s="24">
        <f>G188*H188</f>
        <v/>
      </c>
    </row>
    <row r="189">
      <c r="A189" s="5" t="n">
        <v>182</v>
      </c>
      <c r="B189" s="6" t="inlineStr">
        <is>
          <t>CONG-TAC-SCHN</t>
        </is>
      </c>
      <c r="C189" s="6" t="inlineStr">
        <is>
          <t>Cong tac - Tang 3 Phong 3</t>
        </is>
      </c>
      <c r="D189" s="5" t="inlineStr">
        <is>
          <t>cai</t>
        </is>
      </c>
      <c r="E189" s="25" t="n">
        <v>2</v>
      </c>
      <c r="F189" s="26" t="n">
        <v>2</v>
      </c>
      <c r="G189" s="25">
        <f>E189*(1+F189/100)</f>
        <v/>
      </c>
      <c r="H189" s="8" t="n">
        <v>195000</v>
      </c>
      <c r="I189" s="8">
        <f>G189*H189</f>
        <v/>
      </c>
    </row>
    <row r="190">
      <c r="A190" s="20" t="n">
        <v>183</v>
      </c>
      <c r="B190" s="21" t="inlineStr">
        <is>
          <t>DEN-LED-PHILIPS-18W</t>
        </is>
      </c>
      <c r="C190" s="21" t="inlineStr">
        <is>
          <t>Den downlight - Tang 3 Phong 4</t>
        </is>
      </c>
      <c r="D190" s="20" t="inlineStr">
        <is>
          <t>cai</t>
        </is>
      </c>
      <c r="E190" s="22" t="n">
        <v>6</v>
      </c>
      <c r="F190" s="23" t="n">
        <v>2</v>
      </c>
      <c r="G190" s="22">
        <f>E190*(1+F190/100)</f>
        <v/>
      </c>
      <c r="H190" s="24" t="n">
        <v>480000</v>
      </c>
      <c r="I190" s="24">
        <f>G190*H190</f>
        <v/>
      </c>
    </row>
    <row r="191">
      <c r="A191" s="5" t="n">
        <v>184</v>
      </c>
      <c r="B191" s="6" t="inlineStr">
        <is>
          <t>OCAM-SCHN-220</t>
        </is>
      </c>
      <c r="C191" s="6" t="inlineStr">
        <is>
          <t>O cam Schneider - Tang 3 Phong 4</t>
        </is>
      </c>
      <c r="D191" s="5" t="inlineStr">
        <is>
          <t>cai</t>
        </is>
      </c>
      <c r="E191" s="25" t="n">
        <v>4</v>
      </c>
      <c r="F191" s="26" t="n">
        <v>2</v>
      </c>
      <c r="G191" s="25">
        <f>E191*(1+F191/100)</f>
        <v/>
      </c>
      <c r="H191" s="8" t="n">
        <v>285000</v>
      </c>
      <c r="I191" s="8">
        <f>G191*H191</f>
        <v/>
      </c>
    </row>
    <row r="192">
      <c r="A192" s="20" t="n">
        <v>185</v>
      </c>
      <c r="B192" s="21" t="inlineStr">
        <is>
          <t>CONG-TAC-SCHN</t>
        </is>
      </c>
      <c r="C192" s="21" t="inlineStr">
        <is>
          <t>Cong tac - Tang 3 Phong 4</t>
        </is>
      </c>
      <c r="D192" s="20" t="inlineStr">
        <is>
          <t>cai</t>
        </is>
      </c>
      <c r="E192" s="22" t="n">
        <v>2</v>
      </c>
      <c r="F192" s="23" t="n">
        <v>2</v>
      </c>
      <c r="G192" s="22">
        <f>E192*(1+F192/100)</f>
        <v/>
      </c>
      <c r="H192" s="24" t="n">
        <v>195000</v>
      </c>
      <c r="I192" s="24">
        <f>G192*H192</f>
        <v/>
      </c>
    </row>
    <row r="193">
      <c r="A193" s="5" t="n">
        <v>186</v>
      </c>
      <c r="B193" s="6" t="inlineStr">
        <is>
          <t>DEN-LED-PHILIPS-18W</t>
        </is>
      </c>
      <c r="C193" s="6" t="inlineStr">
        <is>
          <t>Den downlight - Tang 3 Phong 5</t>
        </is>
      </c>
      <c r="D193" s="5" t="inlineStr">
        <is>
          <t>cai</t>
        </is>
      </c>
      <c r="E193" s="25" t="n">
        <v>6</v>
      </c>
      <c r="F193" s="26" t="n">
        <v>2</v>
      </c>
      <c r="G193" s="25">
        <f>E193*(1+F193/100)</f>
        <v/>
      </c>
      <c r="H193" s="8" t="n">
        <v>480000</v>
      </c>
      <c r="I193" s="8">
        <f>G193*H193</f>
        <v/>
      </c>
    </row>
    <row r="194">
      <c r="A194" s="20" t="n">
        <v>187</v>
      </c>
      <c r="B194" s="21" t="inlineStr">
        <is>
          <t>OCAM-SCHN-220</t>
        </is>
      </c>
      <c r="C194" s="21" t="inlineStr">
        <is>
          <t>O cam Schneider - Tang 3 Phong 5</t>
        </is>
      </c>
      <c r="D194" s="20" t="inlineStr">
        <is>
          <t>cai</t>
        </is>
      </c>
      <c r="E194" s="22" t="n">
        <v>4</v>
      </c>
      <c r="F194" s="23" t="n">
        <v>2</v>
      </c>
      <c r="G194" s="22">
        <f>E194*(1+F194/100)</f>
        <v/>
      </c>
      <c r="H194" s="24" t="n">
        <v>285000</v>
      </c>
      <c r="I194" s="24">
        <f>G194*H194</f>
        <v/>
      </c>
    </row>
    <row r="195">
      <c r="A195" s="5" t="n">
        <v>188</v>
      </c>
      <c r="B195" s="6" t="inlineStr">
        <is>
          <t>CONG-TAC-SCHN</t>
        </is>
      </c>
      <c r="C195" s="6" t="inlineStr">
        <is>
          <t>Cong tac - Tang 3 Phong 5</t>
        </is>
      </c>
      <c r="D195" s="5" t="inlineStr">
        <is>
          <t>cai</t>
        </is>
      </c>
      <c r="E195" s="25" t="n">
        <v>2</v>
      </c>
      <c r="F195" s="26" t="n">
        <v>2</v>
      </c>
      <c r="G195" s="25">
        <f>E195*(1+F195/100)</f>
        <v/>
      </c>
      <c r="H195" s="8" t="n">
        <v>195000</v>
      </c>
      <c r="I195" s="8">
        <f>G195*H195</f>
        <v/>
      </c>
    </row>
    <row r="196">
      <c r="A196" s="20" t="n">
        <v>189</v>
      </c>
      <c r="B196" s="21" t="inlineStr">
        <is>
          <t>DEN-LED-PHILIPS-18W</t>
        </is>
      </c>
      <c r="C196" s="21" t="inlineStr">
        <is>
          <t>Den downlight - Tang 3 Phong 6</t>
        </is>
      </c>
      <c r="D196" s="20" t="inlineStr">
        <is>
          <t>cai</t>
        </is>
      </c>
      <c r="E196" s="22" t="n">
        <v>6</v>
      </c>
      <c r="F196" s="23" t="n">
        <v>2</v>
      </c>
      <c r="G196" s="22">
        <f>E196*(1+F196/100)</f>
        <v/>
      </c>
      <c r="H196" s="24" t="n">
        <v>480000</v>
      </c>
      <c r="I196" s="24">
        <f>G196*H196</f>
        <v/>
      </c>
    </row>
    <row r="197">
      <c r="A197" s="5" t="n">
        <v>190</v>
      </c>
      <c r="B197" s="6" t="inlineStr">
        <is>
          <t>OCAM-SCHN-220</t>
        </is>
      </c>
      <c r="C197" s="6" t="inlineStr">
        <is>
          <t>O cam Schneider - Tang 3 Phong 6</t>
        </is>
      </c>
      <c r="D197" s="5" t="inlineStr">
        <is>
          <t>cai</t>
        </is>
      </c>
      <c r="E197" s="25" t="n">
        <v>4</v>
      </c>
      <c r="F197" s="26" t="n">
        <v>2</v>
      </c>
      <c r="G197" s="25">
        <f>E197*(1+F197/100)</f>
        <v/>
      </c>
      <c r="H197" s="8" t="n">
        <v>285000</v>
      </c>
      <c r="I197" s="8">
        <f>G197*H197</f>
        <v/>
      </c>
    </row>
    <row r="198">
      <c r="A198" s="20" t="n">
        <v>191</v>
      </c>
      <c r="B198" s="21" t="inlineStr">
        <is>
          <t>CONG-TAC-SCHN</t>
        </is>
      </c>
      <c r="C198" s="21" t="inlineStr">
        <is>
          <t>Cong tac - Tang 3 Phong 6</t>
        </is>
      </c>
      <c r="D198" s="20" t="inlineStr">
        <is>
          <t>cai</t>
        </is>
      </c>
      <c r="E198" s="22" t="n">
        <v>2</v>
      </c>
      <c r="F198" s="23" t="n">
        <v>2</v>
      </c>
      <c r="G198" s="22">
        <f>E198*(1+F198/100)</f>
        <v/>
      </c>
      <c r="H198" s="24" t="n">
        <v>195000</v>
      </c>
      <c r="I198" s="24">
        <f>G198*H198</f>
        <v/>
      </c>
    </row>
    <row r="199">
      <c r="A199" s="5" t="n">
        <v>192</v>
      </c>
      <c r="B199" s="6" t="inlineStr">
        <is>
          <t>DEN-LED-PHILIPS-18W</t>
        </is>
      </c>
      <c r="C199" s="6" t="inlineStr">
        <is>
          <t>Den downlight - Tang 3 Phong 7</t>
        </is>
      </c>
      <c r="D199" s="5" t="inlineStr">
        <is>
          <t>cai</t>
        </is>
      </c>
      <c r="E199" s="25" t="n">
        <v>6</v>
      </c>
      <c r="F199" s="26" t="n">
        <v>2</v>
      </c>
      <c r="G199" s="25">
        <f>E199*(1+F199/100)</f>
        <v/>
      </c>
      <c r="H199" s="8" t="n">
        <v>480000</v>
      </c>
      <c r="I199" s="8">
        <f>G199*H199</f>
        <v/>
      </c>
    </row>
    <row r="200">
      <c r="A200" s="20" t="n">
        <v>193</v>
      </c>
      <c r="B200" s="21" t="inlineStr">
        <is>
          <t>OCAM-SCHN-220</t>
        </is>
      </c>
      <c r="C200" s="21" t="inlineStr">
        <is>
          <t>O cam Schneider - Tang 3 Phong 7</t>
        </is>
      </c>
      <c r="D200" s="20" t="inlineStr">
        <is>
          <t>cai</t>
        </is>
      </c>
      <c r="E200" s="22" t="n">
        <v>4</v>
      </c>
      <c r="F200" s="23" t="n">
        <v>2</v>
      </c>
      <c r="G200" s="22">
        <f>E200*(1+F200/100)</f>
        <v/>
      </c>
      <c r="H200" s="24" t="n">
        <v>285000</v>
      </c>
      <c r="I200" s="24">
        <f>G200*H200</f>
        <v/>
      </c>
    </row>
    <row r="201">
      <c r="A201" s="5" t="n">
        <v>194</v>
      </c>
      <c r="B201" s="6" t="inlineStr">
        <is>
          <t>CONG-TAC-SCHN</t>
        </is>
      </c>
      <c r="C201" s="6" t="inlineStr">
        <is>
          <t>Cong tac - Tang 3 Phong 7</t>
        </is>
      </c>
      <c r="D201" s="5" t="inlineStr">
        <is>
          <t>cai</t>
        </is>
      </c>
      <c r="E201" s="25" t="n">
        <v>2</v>
      </c>
      <c r="F201" s="26" t="n">
        <v>2</v>
      </c>
      <c r="G201" s="25">
        <f>E201*(1+F201/100)</f>
        <v/>
      </c>
      <c r="H201" s="8" t="n">
        <v>195000</v>
      </c>
      <c r="I201" s="8">
        <f>G201*H201</f>
        <v/>
      </c>
    </row>
    <row r="202">
      <c r="A202" s="20" t="n">
        <v>195</v>
      </c>
      <c r="B202" s="21" t="inlineStr">
        <is>
          <t>DEN-LED-PHILIPS-18W</t>
        </is>
      </c>
      <c r="C202" s="21" t="inlineStr">
        <is>
          <t>Den downlight - Tang 3 Phong 8</t>
        </is>
      </c>
      <c r="D202" s="20" t="inlineStr">
        <is>
          <t>cai</t>
        </is>
      </c>
      <c r="E202" s="22" t="n">
        <v>6</v>
      </c>
      <c r="F202" s="23" t="n">
        <v>2</v>
      </c>
      <c r="G202" s="22">
        <f>E202*(1+F202/100)</f>
        <v/>
      </c>
      <c r="H202" s="24" t="n">
        <v>480000</v>
      </c>
      <c r="I202" s="24">
        <f>G202*H202</f>
        <v/>
      </c>
    </row>
    <row r="203">
      <c r="A203" s="5" t="n">
        <v>196</v>
      </c>
      <c r="B203" s="6" t="inlineStr">
        <is>
          <t>OCAM-SCHN-220</t>
        </is>
      </c>
      <c r="C203" s="6" t="inlineStr">
        <is>
          <t>O cam Schneider - Tang 3 Phong 8</t>
        </is>
      </c>
      <c r="D203" s="5" t="inlineStr">
        <is>
          <t>cai</t>
        </is>
      </c>
      <c r="E203" s="25" t="n">
        <v>4</v>
      </c>
      <c r="F203" s="26" t="n">
        <v>2</v>
      </c>
      <c r="G203" s="25">
        <f>E203*(1+F203/100)</f>
        <v/>
      </c>
      <c r="H203" s="8" t="n">
        <v>285000</v>
      </c>
      <c r="I203" s="8">
        <f>G203*H203</f>
        <v/>
      </c>
    </row>
    <row r="204">
      <c r="A204" s="20" t="n">
        <v>197</v>
      </c>
      <c r="B204" s="21" t="inlineStr">
        <is>
          <t>CONG-TAC-SCHN</t>
        </is>
      </c>
      <c r="C204" s="21" t="inlineStr">
        <is>
          <t>Cong tac - Tang 3 Phong 8</t>
        </is>
      </c>
      <c r="D204" s="20" t="inlineStr">
        <is>
          <t>cai</t>
        </is>
      </c>
      <c r="E204" s="22" t="n">
        <v>2</v>
      </c>
      <c r="F204" s="23" t="n">
        <v>2</v>
      </c>
      <c r="G204" s="22">
        <f>E204*(1+F204/100)</f>
        <v/>
      </c>
      <c r="H204" s="24" t="n">
        <v>195000</v>
      </c>
      <c r="I204" s="24">
        <f>G204*H204</f>
        <v/>
      </c>
    </row>
    <row r="205">
      <c r="A205" s="5" t="n">
        <v>198</v>
      </c>
      <c r="B205" s="6" t="inlineStr">
        <is>
          <t>DEN-LED-PHILIPS-18W</t>
        </is>
      </c>
      <c r="C205" s="6" t="inlineStr">
        <is>
          <t>Den downlight - Tang 3 Phong 9</t>
        </is>
      </c>
      <c r="D205" s="5" t="inlineStr">
        <is>
          <t>cai</t>
        </is>
      </c>
      <c r="E205" s="25" t="n">
        <v>6</v>
      </c>
      <c r="F205" s="26" t="n">
        <v>2</v>
      </c>
      <c r="G205" s="25">
        <f>E205*(1+F205/100)</f>
        <v/>
      </c>
      <c r="H205" s="8" t="n">
        <v>480000</v>
      </c>
      <c r="I205" s="8">
        <f>G205*H205</f>
        <v/>
      </c>
    </row>
    <row r="206">
      <c r="A206" s="20" t="n">
        <v>199</v>
      </c>
      <c r="B206" s="21" t="inlineStr">
        <is>
          <t>OCAM-SCHN-220</t>
        </is>
      </c>
      <c r="C206" s="21" t="inlineStr">
        <is>
          <t>O cam Schneider - Tang 3 Phong 9</t>
        </is>
      </c>
      <c r="D206" s="20" t="inlineStr">
        <is>
          <t>cai</t>
        </is>
      </c>
      <c r="E206" s="22" t="n">
        <v>4</v>
      </c>
      <c r="F206" s="23" t="n">
        <v>2</v>
      </c>
      <c r="G206" s="22">
        <f>E206*(1+F206/100)</f>
        <v/>
      </c>
      <c r="H206" s="24" t="n">
        <v>285000</v>
      </c>
      <c r="I206" s="24">
        <f>G206*H206</f>
        <v/>
      </c>
    </row>
    <row r="207">
      <c r="A207" s="5" t="n">
        <v>200</v>
      </c>
      <c r="B207" s="6" t="inlineStr">
        <is>
          <t>CONG-TAC-SCHN</t>
        </is>
      </c>
      <c r="C207" s="6" t="inlineStr">
        <is>
          <t>Cong tac - Tang 3 Phong 9</t>
        </is>
      </c>
      <c r="D207" s="5" t="inlineStr">
        <is>
          <t>cai</t>
        </is>
      </c>
      <c r="E207" s="25" t="n">
        <v>2</v>
      </c>
      <c r="F207" s="26" t="n">
        <v>2</v>
      </c>
      <c r="G207" s="25">
        <f>E207*(1+F207/100)</f>
        <v/>
      </c>
      <c r="H207" s="8" t="n">
        <v>195000</v>
      </c>
      <c r="I207" s="8">
        <f>G207*H207</f>
        <v/>
      </c>
    </row>
    <row r="208">
      <c r="A208" s="20" t="n">
        <v>201</v>
      </c>
      <c r="B208" s="21" t="inlineStr">
        <is>
          <t>DEN-LED-PHILIPS-18W</t>
        </is>
      </c>
      <c r="C208" s="21" t="inlineStr">
        <is>
          <t>Den downlight - Tang 3 Phong 10</t>
        </is>
      </c>
      <c r="D208" s="20" t="inlineStr">
        <is>
          <t>cai</t>
        </is>
      </c>
      <c r="E208" s="22" t="n">
        <v>6</v>
      </c>
      <c r="F208" s="23" t="n">
        <v>2</v>
      </c>
      <c r="G208" s="22">
        <f>E208*(1+F208/100)</f>
        <v/>
      </c>
      <c r="H208" s="24" t="n">
        <v>480000</v>
      </c>
      <c r="I208" s="24">
        <f>G208*H208</f>
        <v/>
      </c>
    </row>
    <row r="209">
      <c r="A209" s="5" t="n">
        <v>202</v>
      </c>
      <c r="B209" s="6" t="inlineStr">
        <is>
          <t>OCAM-SCHN-220</t>
        </is>
      </c>
      <c r="C209" s="6" t="inlineStr">
        <is>
          <t>O cam Schneider - Tang 3 Phong 10</t>
        </is>
      </c>
      <c r="D209" s="5" t="inlineStr">
        <is>
          <t>cai</t>
        </is>
      </c>
      <c r="E209" s="25" t="n">
        <v>4</v>
      </c>
      <c r="F209" s="26" t="n">
        <v>2</v>
      </c>
      <c r="G209" s="25">
        <f>E209*(1+F209/100)</f>
        <v/>
      </c>
      <c r="H209" s="8" t="n">
        <v>285000</v>
      </c>
      <c r="I209" s="8">
        <f>G209*H209</f>
        <v/>
      </c>
    </row>
    <row r="210">
      <c r="A210" s="20" t="n">
        <v>203</v>
      </c>
      <c r="B210" s="21" t="inlineStr">
        <is>
          <t>CONG-TAC-SCHN</t>
        </is>
      </c>
      <c r="C210" s="21" t="inlineStr">
        <is>
          <t>Cong tac - Tang 3 Phong 10</t>
        </is>
      </c>
      <c r="D210" s="20" t="inlineStr">
        <is>
          <t>cai</t>
        </is>
      </c>
      <c r="E210" s="22" t="n">
        <v>2</v>
      </c>
      <c r="F210" s="23" t="n">
        <v>2</v>
      </c>
      <c r="G210" s="22">
        <f>E210*(1+F210/100)</f>
        <v/>
      </c>
      <c r="H210" s="24" t="n">
        <v>195000</v>
      </c>
      <c r="I210" s="24">
        <f>G210*H210</f>
        <v/>
      </c>
    </row>
    <row r="211">
      <c r="A211" s="5" t="n">
        <v>204</v>
      </c>
      <c r="B211" s="6" t="inlineStr">
        <is>
          <t>DEN-LED-PHILIPS-18W</t>
        </is>
      </c>
      <c r="C211" s="6" t="inlineStr">
        <is>
          <t>Den downlight - Tang 3 Phong 11</t>
        </is>
      </c>
      <c r="D211" s="5" t="inlineStr">
        <is>
          <t>cai</t>
        </is>
      </c>
      <c r="E211" s="25" t="n">
        <v>6</v>
      </c>
      <c r="F211" s="26" t="n">
        <v>2</v>
      </c>
      <c r="G211" s="25">
        <f>E211*(1+F211/100)</f>
        <v/>
      </c>
      <c r="H211" s="8" t="n">
        <v>480000</v>
      </c>
      <c r="I211" s="8">
        <f>G211*H211</f>
        <v/>
      </c>
    </row>
    <row r="212">
      <c r="A212" s="20" t="n">
        <v>205</v>
      </c>
      <c r="B212" s="21" t="inlineStr">
        <is>
          <t>OCAM-SCHN-220</t>
        </is>
      </c>
      <c r="C212" s="21" t="inlineStr">
        <is>
          <t>O cam Schneider - Tang 3 Phong 11</t>
        </is>
      </c>
      <c r="D212" s="20" t="inlineStr">
        <is>
          <t>cai</t>
        </is>
      </c>
      <c r="E212" s="22" t="n">
        <v>4</v>
      </c>
      <c r="F212" s="23" t="n">
        <v>2</v>
      </c>
      <c r="G212" s="22">
        <f>E212*(1+F212/100)</f>
        <v/>
      </c>
      <c r="H212" s="24" t="n">
        <v>285000</v>
      </c>
      <c r="I212" s="24">
        <f>G212*H212</f>
        <v/>
      </c>
    </row>
    <row r="213">
      <c r="A213" s="5" t="n">
        <v>206</v>
      </c>
      <c r="B213" s="6" t="inlineStr">
        <is>
          <t>CONG-TAC-SCHN</t>
        </is>
      </c>
      <c r="C213" s="6" t="inlineStr">
        <is>
          <t>Cong tac - Tang 3 Phong 11</t>
        </is>
      </c>
      <c r="D213" s="5" t="inlineStr">
        <is>
          <t>cai</t>
        </is>
      </c>
      <c r="E213" s="25" t="n">
        <v>2</v>
      </c>
      <c r="F213" s="26" t="n">
        <v>2</v>
      </c>
      <c r="G213" s="25">
        <f>E213*(1+F213/100)</f>
        <v/>
      </c>
      <c r="H213" s="8" t="n">
        <v>195000</v>
      </c>
      <c r="I213" s="8">
        <f>G213*H213</f>
        <v/>
      </c>
    </row>
    <row r="214">
      <c r="A214" s="20" t="n">
        <v>207</v>
      </c>
      <c r="B214" s="21" t="inlineStr">
        <is>
          <t>DEN-LED-PHILIPS-18W</t>
        </is>
      </c>
      <c r="C214" s="21" t="inlineStr">
        <is>
          <t>Den downlight - Tang 3 Phong 12</t>
        </is>
      </c>
      <c r="D214" s="20" t="inlineStr">
        <is>
          <t>cai</t>
        </is>
      </c>
      <c r="E214" s="22" t="n">
        <v>6</v>
      </c>
      <c r="F214" s="23" t="n">
        <v>2</v>
      </c>
      <c r="G214" s="22">
        <f>E214*(1+F214/100)</f>
        <v/>
      </c>
      <c r="H214" s="24" t="n">
        <v>480000</v>
      </c>
      <c r="I214" s="24">
        <f>G214*H214</f>
        <v/>
      </c>
    </row>
    <row r="215">
      <c r="A215" s="5" t="n">
        <v>208</v>
      </c>
      <c r="B215" s="6" t="inlineStr">
        <is>
          <t>OCAM-SCHN-220</t>
        </is>
      </c>
      <c r="C215" s="6" t="inlineStr">
        <is>
          <t>O cam Schneider - Tang 3 Phong 12</t>
        </is>
      </c>
      <c r="D215" s="5" t="inlineStr">
        <is>
          <t>cai</t>
        </is>
      </c>
      <c r="E215" s="25" t="n">
        <v>4</v>
      </c>
      <c r="F215" s="26" t="n">
        <v>2</v>
      </c>
      <c r="G215" s="25">
        <f>E215*(1+F215/100)</f>
        <v/>
      </c>
      <c r="H215" s="8" t="n">
        <v>285000</v>
      </c>
      <c r="I215" s="8">
        <f>G215*H215</f>
        <v/>
      </c>
    </row>
    <row r="216">
      <c r="A216" s="20" t="n">
        <v>209</v>
      </c>
      <c r="B216" s="21" t="inlineStr">
        <is>
          <t>CONG-TAC-SCHN</t>
        </is>
      </c>
      <c r="C216" s="21" t="inlineStr">
        <is>
          <t>Cong tac - Tang 3 Phong 12</t>
        </is>
      </c>
      <c r="D216" s="20" t="inlineStr">
        <is>
          <t>cai</t>
        </is>
      </c>
      <c r="E216" s="22" t="n">
        <v>2</v>
      </c>
      <c r="F216" s="23" t="n">
        <v>2</v>
      </c>
      <c r="G216" s="22">
        <f>E216*(1+F216/100)</f>
        <v/>
      </c>
      <c r="H216" s="24" t="n">
        <v>195000</v>
      </c>
      <c r="I216" s="24">
        <f>G216*H216</f>
        <v/>
      </c>
    </row>
    <row r="217">
      <c r="A217" s="5" t="n">
        <v>210</v>
      </c>
      <c r="B217" s="6" t="inlineStr">
        <is>
          <t>DEN-LED-PHILIPS-18W</t>
        </is>
      </c>
      <c r="C217" s="6" t="inlineStr">
        <is>
          <t>Den downlight - Tang 3 Phong 13</t>
        </is>
      </c>
      <c r="D217" s="5" t="inlineStr">
        <is>
          <t>cai</t>
        </is>
      </c>
      <c r="E217" s="25" t="n">
        <v>6</v>
      </c>
      <c r="F217" s="26" t="n">
        <v>2</v>
      </c>
      <c r="G217" s="25">
        <f>E217*(1+F217/100)</f>
        <v/>
      </c>
      <c r="H217" s="8" t="n">
        <v>480000</v>
      </c>
      <c r="I217" s="8">
        <f>G217*H217</f>
        <v/>
      </c>
    </row>
    <row r="218">
      <c r="A218" s="20" t="n">
        <v>211</v>
      </c>
      <c r="B218" s="21" t="inlineStr">
        <is>
          <t>OCAM-SCHN-220</t>
        </is>
      </c>
      <c r="C218" s="21" t="inlineStr">
        <is>
          <t>O cam Schneider - Tang 3 Phong 13</t>
        </is>
      </c>
      <c r="D218" s="20" t="inlineStr">
        <is>
          <t>cai</t>
        </is>
      </c>
      <c r="E218" s="22" t="n">
        <v>4</v>
      </c>
      <c r="F218" s="23" t="n">
        <v>2</v>
      </c>
      <c r="G218" s="22">
        <f>E218*(1+F218/100)</f>
        <v/>
      </c>
      <c r="H218" s="24" t="n">
        <v>285000</v>
      </c>
      <c r="I218" s="24">
        <f>G218*H218</f>
        <v/>
      </c>
    </row>
    <row r="219">
      <c r="A219" s="5" t="n">
        <v>212</v>
      </c>
      <c r="B219" s="6" t="inlineStr">
        <is>
          <t>CONG-TAC-SCHN</t>
        </is>
      </c>
      <c r="C219" s="6" t="inlineStr">
        <is>
          <t>Cong tac - Tang 3 Phong 13</t>
        </is>
      </c>
      <c r="D219" s="5" t="inlineStr">
        <is>
          <t>cai</t>
        </is>
      </c>
      <c r="E219" s="25" t="n">
        <v>2</v>
      </c>
      <c r="F219" s="26" t="n">
        <v>2</v>
      </c>
      <c r="G219" s="25">
        <f>E219*(1+F219/100)</f>
        <v/>
      </c>
      <c r="H219" s="8" t="n">
        <v>195000</v>
      </c>
      <c r="I219" s="8">
        <f>G219*H219</f>
        <v/>
      </c>
    </row>
    <row r="220">
      <c r="A220" s="20" t="n">
        <v>213</v>
      </c>
      <c r="B220" s="21" t="inlineStr">
        <is>
          <t>DEN-LED-PHILIPS-18W</t>
        </is>
      </c>
      <c r="C220" s="21" t="inlineStr">
        <is>
          <t>Den downlight - Tang 3 Phong 14</t>
        </is>
      </c>
      <c r="D220" s="20" t="inlineStr">
        <is>
          <t>cai</t>
        </is>
      </c>
      <c r="E220" s="22" t="n">
        <v>6</v>
      </c>
      <c r="F220" s="23" t="n">
        <v>2</v>
      </c>
      <c r="G220" s="22">
        <f>E220*(1+F220/100)</f>
        <v/>
      </c>
      <c r="H220" s="24" t="n">
        <v>480000</v>
      </c>
      <c r="I220" s="24">
        <f>G220*H220</f>
        <v/>
      </c>
    </row>
    <row r="221">
      <c r="A221" s="5" t="n">
        <v>214</v>
      </c>
      <c r="B221" s="6" t="inlineStr">
        <is>
          <t>OCAM-SCHN-220</t>
        </is>
      </c>
      <c r="C221" s="6" t="inlineStr">
        <is>
          <t>O cam Schneider - Tang 3 Phong 14</t>
        </is>
      </c>
      <c r="D221" s="5" t="inlineStr">
        <is>
          <t>cai</t>
        </is>
      </c>
      <c r="E221" s="25" t="n">
        <v>4</v>
      </c>
      <c r="F221" s="26" t="n">
        <v>2</v>
      </c>
      <c r="G221" s="25">
        <f>E221*(1+F221/100)</f>
        <v/>
      </c>
      <c r="H221" s="8" t="n">
        <v>285000</v>
      </c>
      <c r="I221" s="8">
        <f>G221*H221</f>
        <v/>
      </c>
    </row>
    <row r="222">
      <c r="A222" s="20" t="n">
        <v>215</v>
      </c>
      <c r="B222" s="21" t="inlineStr">
        <is>
          <t>CONG-TAC-SCHN</t>
        </is>
      </c>
      <c r="C222" s="21" t="inlineStr">
        <is>
          <t>Cong tac - Tang 3 Phong 14</t>
        </is>
      </c>
      <c r="D222" s="20" t="inlineStr">
        <is>
          <t>cai</t>
        </is>
      </c>
      <c r="E222" s="22" t="n">
        <v>2</v>
      </c>
      <c r="F222" s="23" t="n">
        <v>2</v>
      </c>
      <c r="G222" s="22">
        <f>E222*(1+F222/100)</f>
        <v/>
      </c>
      <c r="H222" s="24" t="n">
        <v>195000</v>
      </c>
      <c r="I222" s="24">
        <f>G222*H222</f>
        <v/>
      </c>
    </row>
    <row r="223">
      <c r="A223" s="5" t="n">
        <v>216</v>
      </c>
      <c r="B223" s="6" t="inlineStr">
        <is>
          <t>DEN-LED-PHILIPS-18W</t>
        </is>
      </c>
      <c r="C223" s="6" t="inlineStr">
        <is>
          <t>Den downlight - Tang 3 Phong 15</t>
        </is>
      </c>
      <c r="D223" s="5" t="inlineStr">
        <is>
          <t>cai</t>
        </is>
      </c>
      <c r="E223" s="25" t="n">
        <v>6</v>
      </c>
      <c r="F223" s="26" t="n">
        <v>2</v>
      </c>
      <c r="G223" s="25">
        <f>E223*(1+F223/100)</f>
        <v/>
      </c>
      <c r="H223" s="8" t="n">
        <v>480000</v>
      </c>
      <c r="I223" s="8">
        <f>G223*H223</f>
        <v/>
      </c>
    </row>
    <row r="224">
      <c r="A224" s="20" t="n">
        <v>217</v>
      </c>
      <c r="B224" s="21" t="inlineStr">
        <is>
          <t>OCAM-SCHN-220</t>
        </is>
      </c>
      <c r="C224" s="21" t="inlineStr">
        <is>
          <t>O cam Schneider - Tang 3 Phong 15</t>
        </is>
      </c>
      <c r="D224" s="20" t="inlineStr">
        <is>
          <t>cai</t>
        </is>
      </c>
      <c r="E224" s="22" t="n">
        <v>4</v>
      </c>
      <c r="F224" s="23" t="n">
        <v>2</v>
      </c>
      <c r="G224" s="22">
        <f>E224*(1+F224/100)</f>
        <v/>
      </c>
      <c r="H224" s="24" t="n">
        <v>285000</v>
      </c>
      <c r="I224" s="24">
        <f>G224*H224</f>
        <v/>
      </c>
    </row>
    <row r="225">
      <c r="A225" s="5" t="n">
        <v>218</v>
      </c>
      <c r="B225" s="6" t="inlineStr">
        <is>
          <t>CONG-TAC-SCHN</t>
        </is>
      </c>
      <c r="C225" s="6" t="inlineStr">
        <is>
          <t>Cong tac - Tang 3 Phong 15</t>
        </is>
      </c>
      <c r="D225" s="5" t="inlineStr">
        <is>
          <t>cai</t>
        </is>
      </c>
      <c r="E225" s="25" t="n">
        <v>2</v>
      </c>
      <c r="F225" s="26" t="n">
        <v>2</v>
      </c>
      <c r="G225" s="25">
        <f>E225*(1+F225/100)</f>
        <v/>
      </c>
      <c r="H225" s="8" t="n">
        <v>195000</v>
      </c>
      <c r="I225" s="8">
        <f>G225*H225</f>
        <v/>
      </c>
    </row>
    <row r="226">
      <c r="A226" s="20" t="n">
        <v>219</v>
      </c>
      <c r="B226" s="21" t="inlineStr">
        <is>
          <t>DEN-LED-PHILIPS-18W</t>
        </is>
      </c>
      <c r="C226" s="21" t="inlineStr">
        <is>
          <t>Den downlight - Tang 3 Phong 16</t>
        </is>
      </c>
      <c r="D226" s="20" t="inlineStr">
        <is>
          <t>cai</t>
        </is>
      </c>
      <c r="E226" s="22" t="n">
        <v>6</v>
      </c>
      <c r="F226" s="23" t="n">
        <v>2</v>
      </c>
      <c r="G226" s="22">
        <f>E226*(1+F226/100)</f>
        <v/>
      </c>
      <c r="H226" s="24" t="n">
        <v>480000</v>
      </c>
      <c r="I226" s="24">
        <f>G226*H226</f>
        <v/>
      </c>
    </row>
    <row r="227">
      <c r="A227" s="5" t="n">
        <v>220</v>
      </c>
      <c r="B227" s="6" t="inlineStr">
        <is>
          <t>OCAM-SCHN-220</t>
        </is>
      </c>
      <c r="C227" s="6" t="inlineStr">
        <is>
          <t>O cam Schneider - Tang 3 Phong 16</t>
        </is>
      </c>
      <c r="D227" s="5" t="inlineStr">
        <is>
          <t>cai</t>
        </is>
      </c>
      <c r="E227" s="25" t="n">
        <v>4</v>
      </c>
      <c r="F227" s="26" t="n">
        <v>2</v>
      </c>
      <c r="G227" s="25">
        <f>E227*(1+F227/100)</f>
        <v/>
      </c>
      <c r="H227" s="8" t="n">
        <v>285000</v>
      </c>
      <c r="I227" s="8">
        <f>G227*H227</f>
        <v/>
      </c>
    </row>
    <row r="228">
      <c r="A228" s="20" t="n">
        <v>221</v>
      </c>
      <c r="B228" s="21" t="inlineStr">
        <is>
          <t>CONG-TAC-SCHN</t>
        </is>
      </c>
      <c r="C228" s="21" t="inlineStr">
        <is>
          <t>Cong tac - Tang 3 Phong 16</t>
        </is>
      </c>
      <c r="D228" s="20" t="inlineStr">
        <is>
          <t>cai</t>
        </is>
      </c>
      <c r="E228" s="22" t="n">
        <v>2</v>
      </c>
      <c r="F228" s="23" t="n">
        <v>2</v>
      </c>
      <c r="G228" s="22">
        <f>E228*(1+F228/100)</f>
        <v/>
      </c>
      <c r="H228" s="24" t="n">
        <v>195000</v>
      </c>
      <c r="I228" s="24">
        <f>G228*H228</f>
        <v/>
      </c>
    </row>
    <row r="229">
      <c r="A229" s="15" t="inlineStr">
        <is>
          <t>CONG HOAN THIEN</t>
        </is>
      </c>
      <c r="B229" s="11" t="n"/>
      <c r="C229" s="11" t="n"/>
      <c r="D229" s="11" t="n"/>
      <c r="E229" s="11" t="n"/>
      <c r="F229" s="11" t="n"/>
      <c r="G229" s="11" t="n"/>
      <c r="H229" s="11" t="n"/>
      <c r="I229" s="16">
        <f>SUM(I8:I228)</f>
        <v/>
      </c>
    </row>
  </sheetData>
  <mergeCells count="5">
    <mergeCell ref="A229:H229"/>
    <mergeCell ref="A2:I2"/>
    <mergeCell ref="A5:I5"/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Smoke test villa  |  Ma: NODE-BRIDGE-TEST</t>
        </is>
      </c>
    </row>
    <row r="3">
      <c r="A3" s="3" t="inlineStr">
        <is>
          <t>Dien tich san: 1224.72 m²  |  So tang: 3  |  Phong cach: luxury  |  Lap: 03/05/2026</t>
        </is>
      </c>
    </row>
    <row r="5">
      <c r="A5" s="19" t="inlineStr">
        <is>
          <t>Noi that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BON-CAU-INAX</t>
        </is>
      </c>
      <c r="C8" s="21" t="inlineStr">
        <is>
          <t>Bon cau Inax - Tang 1</t>
        </is>
      </c>
      <c r="D8" s="20" t="inlineStr">
        <is>
          <t>cai</t>
        </is>
      </c>
      <c r="E8" s="22" t="n">
        <v>8</v>
      </c>
      <c r="F8" s="23" t="n">
        <v>0</v>
      </c>
      <c r="G8" s="22">
        <f>E8*(1+F8/100)</f>
        <v/>
      </c>
      <c r="H8" s="24" t="n">
        <v>8500000</v>
      </c>
      <c r="I8" s="24">
        <f>G8*H8</f>
        <v/>
      </c>
    </row>
    <row r="9">
      <c r="A9" s="5" t="n">
        <v>2</v>
      </c>
      <c r="B9" s="6" t="inlineStr">
        <is>
          <t>LAVABO-INAX</t>
        </is>
      </c>
      <c r="C9" s="6" t="inlineStr">
        <is>
          <t>Lavabo Inax - Tang 1</t>
        </is>
      </c>
      <c r="D9" s="5" t="inlineStr">
        <is>
          <t>bo</t>
        </is>
      </c>
      <c r="E9" s="25" t="n">
        <v>8</v>
      </c>
      <c r="F9" s="26" t="n">
        <v>0</v>
      </c>
      <c r="G9" s="25">
        <f>E9*(1+F9/100)</f>
        <v/>
      </c>
      <c r="H9" s="8" t="n">
        <v>6800000</v>
      </c>
      <c r="I9" s="8">
        <f>G9*H9</f>
        <v/>
      </c>
    </row>
    <row r="10">
      <c r="A10" s="20" t="n">
        <v>3</v>
      </c>
      <c r="B10" s="21" t="inlineStr">
        <is>
          <t>VOI-SEN-CAYTAM</t>
        </is>
      </c>
      <c r="C10" s="21" t="inlineStr">
        <is>
          <t>Voi sen TOTO - Tang 1</t>
        </is>
      </c>
      <c r="D10" s="20" t="inlineStr">
        <is>
          <t>bo</t>
        </is>
      </c>
      <c r="E10" s="22" t="n">
        <v>8</v>
      </c>
      <c r="F10" s="23" t="n">
        <v>0</v>
      </c>
      <c r="G10" s="22">
        <f>E10*(1+F10/100)</f>
        <v/>
      </c>
      <c r="H10" s="24" t="n">
        <v>5200000</v>
      </c>
      <c r="I10" s="24">
        <f>G10*H10</f>
        <v/>
      </c>
    </row>
    <row r="11">
      <c r="A11" s="5" t="n">
        <v>4</v>
      </c>
      <c r="B11" s="6" t="inlineStr">
        <is>
          <t>BON-CAU-INAX</t>
        </is>
      </c>
      <c r="C11" s="6" t="inlineStr">
        <is>
          <t>Bon cau Inax - Tang 2</t>
        </is>
      </c>
      <c r="D11" s="5" t="inlineStr">
        <is>
          <t>cai</t>
        </is>
      </c>
      <c r="E11" s="25" t="n">
        <v>8</v>
      </c>
      <c r="F11" s="26" t="n">
        <v>0</v>
      </c>
      <c r="G11" s="25">
        <f>E11*(1+F11/100)</f>
        <v/>
      </c>
      <c r="H11" s="8" t="n">
        <v>8500000</v>
      </c>
      <c r="I11" s="8">
        <f>G11*H11</f>
        <v/>
      </c>
    </row>
    <row r="12">
      <c r="A12" s="20" t="n">
        <v>5</v>
      </c>
      <c r="B12" s="21" t="inlineStr">
        <is>
          <t>LAVABO-INAX</t>
        </is>
      </c>
      <c r="C12" s="21" t="inlineStr">
        <is>
          <t>Lavabo Inax - Tang 2</t>
        </is>
      </c>
      <c r="D12" s="20" t="inlineStr">
        <is>
          <t>bo</t>
        </is>
      </c>
      <c r="E12" s="22" t="n">
        <v>8</v>
      </c>
      <c r="F12" s="23" t="n">
        <v>0</v>
      </c>
      <c r="G12" s="22">
        <f>E12*(1+F12/100)</f>
        <v/>
      </c>
      <c r="H12" s="24" t="n">
        <v>6800000</v>
      </c>
      <c r="I12" s="24">
        <f>G12*H12</f>
        <v/>
      </c>
    </row>
    <row r="13">
      <c r="A13" s="5" t="n">
        <v>6</v>
      </c>
      <c r="B13" s="6" t="inlineStr">
        <is>
          <t>VOI-SEN-CAYTAM</t>
        </is>
      </c>
      <c r="C13" s="6" t="inlineStr">
        <is>
          <t>Voi sen TOTO - Tang 2</t>
        </is>
      </c>
      <c r="D13" s="5" t="inlineStr">
        <is>
          <t>bo</t>
        </is>
      </c>
      <c r="E13" s="25" t="n">
        <v>8</v>
      </c>
      <c r="F13" s="26" t="n">
        <v>0</v>
      </c>
      <c r="G13" s="25">
        <f>E13*(1+F13/100)</f>
        <v/>
      </c>
      <c r="H13" s="8" t="n">
        <v>5200000</v>
      </c>
      <c r="I13" s="8">
        <f>G13*H13</f>
        <v/>
      </c>
    </row>
    <row r="14">
      <c r="A14" s="20" t="n">
        <v>7</v>
      </c>
      <c r="B14" s="21" t="inlineStr">
        <is>
          <t>BON-CAU-INAX</t>
        </is>
      </c>
      <c r="C14" s="21" t="inlineStr">
        <is>
          <t>Bon cau Inax - Tang 3</t>
        </is>
      </c>
      <c r="D14" s="20" t="inlineStr">
        <is>
          <t>cai</t>
        </is>
      </c>
      <c r="E14" s="22" t="n">
        <v>8</v>
      </c>
      <c r="F14" s="23" t="n">
        <v>0</v>
      </c>
      <c r="G14" s="22">
        <f>E14*(1+F14/100)</f>
        <v/>
      </c>
      <c r="H14" s="24" t="n">
        <v>8500000</v>
      </c>
      <c r="I14" s="24">
        <f>G14*H14</f>
        <v/>
      </c>
    </row>
    <row r="15">
      <c r="A15" s="5" t="n">
        <v>8</v>
      </c>
      <c r="B15" s="6" t="inlineStr">
        <is>
          <t>LAVABO-INAX</t>
        </is>
      </c>
      <c r="C15" s="6" t="inlineStr">
        <is>
          <t>Lavabo Inax - Tang 3</t>
        </is>
      </c>
      <c r="D15" s="5" t="inlineStr">
        <is>
          <t>bo</t>
        </is>
      </c>
      <c r="E15" s="25" t="n">
        <v>8</v>
      </c>
      <c r="F15" s="26" t="n">
        <v>0</v>
      </c>
      <c r="G15" s="25">
        <f>E15*(1+F15/100)</f>
        <v/>
      </c>
      <c r="H15" s="8" t="n">
        <v>6800000</v>
      </c>
      <c r="I15" s="8">
        <f>G15*H15</f>
        <v/>
      </c>
    </row>
    <row r="16">
      <c r="A16" s="20" t="n">
        <v>9</v>
      </c>
      <c r="B16" s="21" t="inlineStr">
        <is>
          <t>VOI-SEN-CAYTAM</t>
        </is>
      </c>
      <c r="C16" s="21" t="inlineStr">
        <is>
          <t>Voi sen TOTO - Tang 3</t>
        </is>
      </c>
      <c r="D16" s="20" t="inlineStr">
        <is>
          <t>bo</t>
        </is>
      </c>
      <c r="E16" s="22" t="n">
        <v>8</v>
      </c>
      <c r="F16" s="23" t="n">
        <v>0</v>
      </c>
      <c r="G16" s="22">
        <f>E16*(1+F16/100)</f>
        <v/>
      </c>
      <c r="H16" s="24" t="n">
        <v>5200000</v>
      </c>
      <c r="I16" s="24">
        <f>G16*H16</f>
        <v/>
      </c>
    </row>
    <row r="17">
      <c r="A17" s="5" t="n">
        <v>10</v>
      </c>
      <c r="B17" s="6" t="inlineStr">
        <is>
          <t>BON-TAM-MASSAGE</t>
        </is>
      </c>
      <c r="C17" s="6" t="inlineStr">
        <is>
          <t>Bon tam massage Toto Neorest - master suite</t>
        </is>
      </c>
      <c r="D17" s="5" t="inlineStr">
        <is>
          <t>cai</t>
        </is>
      </c>
      <c r="E17" s="25" t="n">
        <v>3</v>
      </c>
      <c r="F17" s="26" t="n">
        <v>0</v>
      </c>
      <c r="G17" s="25">
        <f>E17*(1+F17/100)</f>
        <v/>
      </c>
      <c r="H17" s="8" t="n">
        <v>65000000</v>
      </c>
      <c r="I17" s="8">
        <f>G17*H17</f>
        <v/>
      </c>
    </row>
    <row r="18">
      <c r="A18" s="20" t="n">
        <v>11</v>
      </c>
      <c r="B18" s="21" t="inlineStr">
        <is>
          <t>THAM-SAVONNERIE</t>
        </is>
      </c>
      <c r="C18" s="21" t="inlineStr">
        <is>
          <t>Tham Savonnerie phong khach + master</t>
        </is>
      </c>
      <c r="D18" s="20" t="inlineStr">
        <is>
          <t>cai</t>
        </is>
      </c>
      <c r="E18" s="22" t="n">
        <v>3</v>
      </c>
      <c r="F18" s="23" t="n">
        <v>0</v>
      </c>
      <c r="G18" s="22">
        <f>E18*(1+F18/100)</f>
        <v/>
      </c>
      <c r="H18" s="24" t="n">
        <v>18500000</v>
      </c>
      <c r="I18" s="24">
        <f>G18*H18</f>
        <v/>
      </c>
    </row>
    <row r="19">
      <c r="A19" s="5" t="n">
        <v>12</v>
      </c>
      <c r="B19" s="6" t="inlineStr">
        <is>
          <t>TU-BEP-CONGNGHIEP</t>
        </is>
      </c>
      <c r="C19" s="6" t="inlineStr">
        <is>
          <t>Tu bep An Cuong - Tang 1</t>
        </is>
      </c>
      <c r="D19" s="5" t="inlineStr">
        <is>
          <t>m</t>
        </is>
      </c>
      <c r="E19" s="25" t="n">
        <v>6</v>
      </c>
      <c r="F19" s="26" t="n">
        <v>3</v>
      </c>
      <c r="G19" s="25">
        <f>E19*(1+F19/100)</f>
        <v/>
      </c>
      <c r="H19" s="8" t="n">
        <v>8500000</v>
      </c>
      <c r="I19" s="8">
        <f>G19*H19</f>
        <v/>
      </c>
    </row>
    <row r="20">
      <c r="A20" s="20" t="n">
        <v>13</v>
      </c>
      <c r="B20" s="21" t="inlineStr">
        <is>
          <t>TU-AO-BUILDIN</t>
        </is>
      </c>
      <c r="C20" s="21" t="inlineStr">
        <is>
          <t>Tu ao build-in - Tang 1</t>
        </is>
      </c>
      <c r="D20" s="20" t="inlineStr">
        <is>
          <t>m2</t>
        </is>
      </c>
      <c r="E20" s="22" t="n">
        <v>64</v>
      </c>
      <c r="F20" s="23" t="n">
        <v>3</v>
      </c>
      <c r="G20" s="22">
        <f>E20*(1+F20/100)</f>
        <v/>
      </c>
      <c r="H20" s="24" t="n">
        <v>4800000</v>
      </c>
      <c r="I20" s="24">
        <f>G20*H20</f>
        <v/>
      </c>
    </row>
    <row r="21">
      <c r="A21" s="5" t="n">
        <v>14</v>
      </c>
      <c r="B21" s="6" t="inlineStr">
        <is>
          <t>GIUONG-NGU-CON</t>
        </is>
      </c>
      <c r="C21" s="6" t="inlineStr">
        <is>
          <t>Giuong - Tang 1</t>
        </is>
      </c>
      <c r="D21" s="5" t="inlineStr">
        <is>
          <t>bo</t>
        </is>
      </c>
      <c r="E21" s="25" t="n">
        <v>15</v>
      </c>
      <c r="F21" s="26" t="n">
        <v>0</v>
      </c>
      <c r="G21" s="25">
        <f>E21*(1+F21/100)</f>
        <v/>
      </c>
      <c r="H21" s="8" t="n">
        <v>12500000</v>
      </c>
      <c r="I21" s="8">
        <f>G21*H21</f>
        <v/>
      </c>
    </row>
    <row r="22">
      <c r="A22" s="20" t="n">
        <v>15</v>
      </c>
      <c r="B22" s="21" t="inlineStr">
        <is>
          <t>RIDEAUX-CAOCAP</t>
        </is>
      </c>
      <c r="C22" s="21" t="inlineStr">
        <is>
          <t>Rem cua - Tang 1</t>
        </is>
      </c>
      <c r="D22" s="20" t="inlineStr">
        <is>
          <t>m2</t>
        </is>
      </c>
      <c r="E22" s="22" t="n">
        <v>81.648</v>
      </c>
      <c r="F22" s="23" t="n">
        <v>10</v>
      </c>
      <c r="G22" s="22">
        <f>E22*(1+F22/100)</f>
        <v/>
      </c>
      <c r="H22" s="24" t="n">
        <v>850000</v>
      </c>
      <c r="I22" s="24">
        <f>G22*H22</f>
        <v/>
      </c>
    </row>
    <row r="23">
      <c r="A23" s="5" t="n">
        <v>16</v>
      </c>
      <c r="B23" s="6" t="inlineStr">
        <is>
          <t>TU-BEP-CONGNGHIEP</t>
        </is>
      </c>
      <c r="C23" s="6" t="inlineStr">
        <is>
          <t>Tu bep An Cuong - Tang 2</t>
        </is>
      </c>
      <c r="D23" s="5" t="inlineStr">
        <is>
          <t>m</t>
        </is>
      </c>
      <c r="E23" s="25" t="n">
        <v>4</v>
      </c>
      <c r="F23" s="26" t="n">
        <v>3</v>
      </c>
      <c r="G23" s="25">
        <f>E23*(1+F23/100)</f>
        <v/>
      </c>
      <c r="H23" s="8" t="n">
        <v>8500000</v>
      </c>
      <c r="I23" s="8">
        <f>G23*H23</f>
        <v/>
      </c>
    </row>
    <row r="24">
      <c r="A24" s="20" t="n">
        <v>17</v>
      </c>
      <c r="B24" s="21" t="inlineStr">
        <is>
          <t>TU-AO-BUILDIN</t>
        </is>
      </c>
      <c r="C24" s="21" t="inlineStr">
        <is>
          <t>Tu ao build-in - Tang 2</t>
        </is>
      </c>
      <c r="D24" s="20" t="inlineStr">
        <is>
          <t>m2</t>
        </is>
      </c>
      <c r="E24" s="22" t="n">
        <v>64</v>
      </c>
      <c r="F24" s="23" t="n">
        <v>3</v>
      </c>
      <c r="G24" s="22">
        <f>E24*(1+F24/100)</f>
        <v/>
      </c>
      <c r="H24" s="24" t="n">
        <v>4800000</v>
      </c>
      <c r="I24" s="24">
        <f>G24*H24</f>
        <v/>
      </c>
    </row>
    <row r="25">
      <c r="A25" s="5" t="n">
        <v>18</v>
      </c>
      <c r="B25" s="6" t="inlineStr">
        <is>
          <t>GIUONG-NGU-CON</t>
        </is>
      </c>
      <c r="C25" s="6" t="inlineStr">
        <is>
          <t>Giuong - Tang 2</t>
        </is>
      </c>
      <c r="D25" s="5" t="inlineStr">
        <is>
          <t>bo</t>
        </is>
      </c>
      <c r="E25" s="25" t="n">
        <v>15</v>
      </c>
      <c r="F25" s="26" t="n">
        <v>0</v>
      </c>
      <c r="G25" s="25">
        <f>E25*(1+F25/100)</f>
        <v/>
      </c>
      <c r="H25" s="8" t="n">
        <v>12500000</v>
      </c>
      <c r="I25" s="8">
        <f>G25*H25</f>
        <v/>
      </c>
    </row>
    <row r="26">
      <c r="A26" s="20" t="n">
        <v>19</v>
      </c>
      <c r="B26" s="21" t="inlineStr">
        <is>
          <t>RIDEAUX-CAOCAP</t>
        </is>
      </c>
      <c r="C26" s="21" t="inlineStr">
        <is>
          <t>Rem cua - Tang 2</t>
        </is>
      </c>
      <c r="D26" s="20" t="inlineStr">
        <is>
          <t>m2</t>
        </is>
      </c>
      <c r="E26" s="22" t="n">
        <v>81.648</v>
      </c>
      <c r="F26" s="23" t="n">
        <v>10</v>
      </c>
      <c r="G26" s="22">
        <f>E26*(1+F26/100)</f>
        <v/>
      </c>
      <c r="H26" s="24" t="n">
        <v>850000</v>
      </c>
      <c r="I26" s="24">
        <f>G26*H26</f>
        <v/>
      </c>
    </row>
    <row r="27">
      <c r="A27" s="5" t="n">
        <v>20</v>
      </c>
      <c r="B27" s="6" t="inlineStr">
        <is>
          <t>TU-BEP-CONGNGHIEP</t>
        </is>
      </c>
      <c r="C27" s="6" t="inlineStr">
        <is>
          <t>Tu bep An Cuong - Tang 3</t>
        </is>
      </c>
      <c r="D27" s="5" t="inlineStr">
        <is>
          <t>m</t>
        </is>
      </c>
      <c r="E27" s="25" t="n">
        <v>4</v>
      </c>
      <c r="F27" s="26" t="n">
        <v>3</v>
      </c>
      <c r="G27" s="25">
        <f>E27*(1+F27/100)</f>
        <v/>
      </c>
      <c r="H27" s="8" t="n">
        <v>8500000</v>
      </c>
      <c r="I27" s="8">
        <f>G27*H27</f>
        <v/>
      </c>
    </row>
    <row r="28">
      <c r="A28" s="20" t="n">
        <v>21</v>
      </c>
      <c r="B28" s="21" t="inlineStr">
        <is>
          <t>TU-AO-BUILDIN</t>
        </is>
      </c>
      <c r="C28" s="21" t="inlineStr">
        <is>
          <t>Tu ao build-in - Tang 3</t>
        </is>
      </c>
      <c r="D28" s="20" t="inlineStr">
        <is>
          <t>m2</t>
        </is>
      </c>
      <c r="E28" s="22" t="n">
        <v>64</v>
      </c>
      <c r="F28" s="23" t="n">
        <v>3</v>
      </c>
      <c r="G28" s="22">
        <f>E28*(1+F28/100)</f>
        <v/>
      </c>
      <c r="H28" s="24" t="n">
        <v>4800000</v>
      </c>
      <c r="I28" s="24">
        <f>G28*H28</f>
        <v/>
      </c>
    </row>
    <row r="29">
      <c r="A29" s="5" t="n">
        <v>22</v>
      </c>
      <c r="B29" s="6" t="inlineStr">
        <is>
          <t>GIUONG-NGU-MASTER</t>
        </is>
      </c>
      <c r="C29" s="6" t="inlineStr">
        <is>
          <t>Giuong - Tang 3</t>
        </is>
      </c>
      <c r="D29" s="5" t="inlineStr">
        <is>
          <t>bo</t>
        </is>
      </c>
      <c r="E29" s="25" t="n">
        <v>1</v>
      </c>
      <c r="F29" s="26" t="n">
        <v>0</v>
      </c>
      <c r="G29" s="25">
        <f>E29*(1+F29/100)</f>
        <v/>
      </c>
      <c r="H29" s="8" t="n">
        <v>28500000</v>
      </c>
      <c r="I29" s="8">
        <f>G29*H29</f>
        <v/>
      </c>
    </row>
    <row r="30">
      <c r="A30" s="20" t="n">
        <v>23</v>
      </c>
      <c r="B30" s="21" t="inlineStr">
        <is>
          <t>RIDEAUX-CAOCAP</t>
        </is>
      </c>
      <c r="C30" s="21" t="inlineStr">
        <is>
          <t>Rem cua - Tang 3</t>
        </is>
      </c>
      <c r="D30" s="20" t="inlineStr">
        <is>
          <t>m2</t>
        </is>
      </c>
      <c r="E30" s="22" t="n">
        <v>81.648</v>
      </c>
      <c r="F30" s="23" t="n">
        <v>10</v>
      </c>
      <c r="G30" s="22">
        <f>E30*(1+F30/100)</f>
        <v/>
      </c>
      <c r="H30" s="24" t="n">
        <v>850000</v>
      </c>
      <c r="I30" s="24">
        <f>G30*H30</f>
        <v/>
      </c>
    </row>
    <row r="31">
      <c r="A31" s="5" t="n">
        <v>24</v>
      </c>
      <c r="B31" s="6" t="inlineStr">
        <is>
          <t>BAN-AN-GOTU</t>
        </is>
      </c>
      <c r="C31" s="6" t="inlineStr">
        <is>
          <t>Ban an go xoan dao 6 cho - phong an</t>
        </is>
      </c>
      <c r="D31" s="5" t="inlineStr">
        <is>
          <t>bo</t>
        </is>
      </c>
      <c r="E31" s="25" t="n">
        <v>1</v>
      </c>
      <c r="F31" s="26" t="n">
        <v>0</v>
      </c>
      <c r="G31" s="25">
        <f>E31*(1+F31/100)</f>
        <v/>
      </c>
      <c r="H31" s="8" t="n">
        <v>18500000</v>
      </c>
      <c r="I31" s="8">
        <f>G31*H31</f>
        <v/>
      </c>
    </row>
    <row r="32">
      <c r="A32" s="20" t="n">
        <v>25</v>
      </c>
      <c r="B32" s="21" t="inlineStr">
        <is>
          <t>SOFA-DA-7CHO</t>
        </is>
      </c>
      <c r="C32" s="21" t="inlineStr">
        <is>
          <t>Sofa da bo Italy 7 cho - phong khach</t>
        </is>
      </c>
      <c r="D32" s="20" t="inlineStr">
        <is>
          <t>bo</t>
        </is>
      </c>
      <c r="E32" s="22" t="n">
        <v>1</v>
      </c>
      <c r="F32" s="23" t="n">
        <v>0</v>
      </c>
      <c r="G32" s="22">
        <f>E32*(1+F32/100)</f>
        <v/>
      </c>
      <c r="H32" s="24" t="n">
        <v>65000000</v>
      </c>
      <c r="I32" s="24">
        <f>G32*H32</f>
        <v/>
      </c>
    </row>
    <row r="33">
      <c r="A33" s="5" t="n">
        <v>26</v>
      </c>
      <c r="B33" s="6" t="inlineStr">
        <is>
          <t>RIDEAUX-CAOCAP</t>
        </is>
      </c>
      <c r="C33" s="6" t="inlineStr">
        <is>
          <t>Rem 2 lop - Tang 1 Phong 1</t>
        </is>
      </c>
      <c r="D33" s="5" t="inlineStr">
        <is>
          <t>m2</t>
        </is>
      </c>
      <c r="E33" s="25" t="n">
        <v>8</v>
      </c>
      <c r="F33" s="26" t="n">
        <v>10</v>
      </c>
      <c r="G33" s="25">
        <f>E33*(1+F33/100)</f>
        <v/>
      </c>
      <c r="H33" s="8" t="n">
        <v>850000</v>
      </c>
      <c r="I33" s="8">
        <f>G33*H33</f>
        <v/>
      </c>
    </row>
    <row r="34">
      <c r="A34" s="20" t="n">
        <v>27</v>
      </c>
      <c r="B34" s="21" t="inlineStr">
        <is>
          <t>RIDEAUX-CAOCAP</t>
        </is>
      </c>
      <c r="C34" s="21" t="inlineStr">
        <is>
          <t>Rem 2 lop - Tang 1 Phong 2</t>
        </is>
      </c>
      <c r="D34" s="20" t="inlineStr">
        <is>
          <t>m2</t>
        </is>
      </c>
      <c r="E34" s="22" t="n">
        <v>8</v>
      </c>
      <c r="F34" s="23" t="n">
        <v>10</v>
      </c>
      <c r="G34" s="22">
        <f>E34*(1+F34/100)</f>
        <v/>
      </c>
      <c r="H34" s="24" t="n">
        <v>850000</v>
      </c>
      <c r="I34" s="24">
        <f>G34*H34</f>
        <v/>
      </c>
    </row>
    <row r="35">
      <c r="A35" s="5" t="n">
        <v>28</v>
      </c>
      <c r="B35" s="6" t="inlineStr">
        <is>
          <t>RIDEAUX-CAOCAP</t>
        </is>
      </c>
      <c r="C35" s="6" t="inlineStr">
        <is>
          <t>Rem 2 lop - Tang 1 Phong 3</t>
        </is>
      </c>
      <c r="D35" s="5" t="inlineStr">
        <is>
          <t>m2</t>
        </is>
      </c>
      <c r="E35" s="25" t="n">
        <v>8</v>
      </c>
      <c r="F35" s="26" t="n">
        <v>10</v>
      </c>
      <c r="G35" s="25">
        <f>E35*(1+F35/100)</f>
        <v/>
      </c>
      <c r="H35" s="8" t="n">
        <v>850000</v>
      </c>
      <c r="I35" s="8">
        <f>G35*H35</f>
        <v/>
      </c>
    </row>
    <row r="36">
      <c r="A36" s="20" t="n">
        <v>29</v>
      </c>
      <c r="B36" s="21" t="inlineStr">
        <is>
          <t>RIDEAUX-CAOCAP</t>
        </is>
      </c>
      <c r="C36" s="21" t="inlineStr">
        <is>
          <t>Rem 2 lop - Tang 1 Phong 4</t>
        </is>
      </c>
      <c r="D36" s="20" t="inlineStr">
        <is>
          <t>m2</t>
        </is>
      </c>
      <c r="E36" s="22" t="n">
        <v>8</v>
      </c>
      <c r="F36" s="23" t="n">
        <v>10</v>
      </c>
      <c r="G36" s="22">
        <f>E36*(1+F36/100)</f>
        <v/>
      </c>
      <c r="H36" s="24" t="n">
        <v>850000</v>
      </c>
      <c r="I36" s="24">
        <f>G36*H36</f>
        <v/>
      </c>
    </row>
    <row r="37">
      <c r="A37" s="5" t="n">
        <v>30</v>
      </c>
      <c r="B37" s="6" t="inlineStr">
        <is>
          <t>RIDEAUX-CAOCAP</t>
        </is>
      </c>
      <c r="C37" s="6" t="inlineStr">
        <is>
          <t>Rem 2 lop - Tang 1 Phong 5</t>
        </is>
      </c>
      <c r="D37" s="5" t="inlineStr">
        <is>
          <t>m2</t>
        </is>
      </c>
      <c r="E37" s="25" t="n">
        <v>8</v>
      </c>
      <c r="F37" s="26" t="n">
        <v>10</v>
      </c>
      <c r="G37" s="25">
        <f>E37*(1+F37/100)</f>
        <v/>
      </c>
      <c r="H37" s="8" t="n">
        <v>850000</v>
      </c>
      <c r="I37" s="8">
        <f>G37*H37</f>
        <v/>
      </c>
    </row>
    <row r="38">
      <c r="A38" s="20" t="n">
        <v>31</v>
      </c>
      <c r="B38" s="21" t="inlineStr">
        <is>
          <t>RIDEAUX-CAOCAP</t>
        </is>
      </c>
      <c r="C38" s="21" t="inlineStr">
        <is>
          <t>Rem 2 lop - Tang 1 Phong 6</t>
        </is>
      </c>
      <c r="D38" s="20" t="inlineStr">
        <is>
          <t>m2</t>
        </is>
      </c>
      <c r="E38" s="22" t="n">
        <v>8</v>
      </c>
      <c r="F38" s="23" t="n">
        <v>10</v>
      </c>
      <c r="G38" s="22">
        <f>E38*(1+F38/100)</f>
        <v/>
      </c>
      <c r="H38" s="24" t="n">
        <v>850000</v>
      </c>
      <c r="I38" s="24">
        <f>G38*H38</f>
        <v/>
      </c>
    </row>
    <row r="39">
      <c r="A39" s="5" t="n">
        <v>32</v>
      </c>
      <c r="B39" s="6" t="inlineStr">
        <is>
          <t>RIDEAUX-CAOCAP</t>
        </is>
      </c>
      <c r="C39" s="6" t="inlineStr">
        <is>
          <t>Rem 2 lop - Tang 1 Phong 7</t>
        </is>
      </c>
      <c r="D39" s="5" t="inlineStr">
        <is>
          <t>m2</t>
        </is>
      </c>
      <c r="E39" s="25" t="n">
        <v>8</v>
      </c>
      <c r="F39" s="26" t="n">
        <v>10</v>
      </c>
      <c r="G39" s="25">
        <f>E39*(1+F39/100)</f>
        <v/>
      </c>
      <c r="H39" s="8" t="n">
        <v>850000</v>
      </c>
      <c r="I39" s="8">
        <f>G39*H39</f>
        <v/>
      </c>
    </row>
    <row r="40">
      <c r="A40" s="20" t="n">
        <v>33</v>
      </c>
      <c r="B40" s="21" t="inlineStr">
        <is>
          <t>RIDEAUX-CAOCAP</t>
        </is>
      </c>
      <c r="C40" s="21" t="inlineStr">
        <is>
          <t>Rem 2 lop - Tang 1 Phong 8</t>
        </is>
      </c>
      <c r="D40" s="20" t="inlineStr">
        <is>
          <t>m2</t>
        </is>
      </c>
      <c r="E40" s="22" t="n">
        <v>8</v>
      </c>
      <c r="F40" s="23" t="n">
        <v>10</v>
      </c>
      <c r="G40" s="22">
        <f>E40*(1+F40/100)</f>
        <v/>
      </c>
      <c r="H40" s="24" t="n">
        <v>850000</v>
      </c>
      <c r="I40" s="24">
        <f>G40*H40</f>
        <v/>
      </c>
    </row>
    <row r="41">
      <c r="A41" s="5" t="n">
        <v>34</v>
      </c>
      <c r="B41" s="6" t="inlineStr">
        <is>
          <t>RIDEAUX-CAOCAP</t>
        </is>
      </c>
      <c r="C41" s="6" t="inlineStr">
        <is>
          <t>Rem 2 lop - Tang 1 Phong 9</t>
        </is>
      </c>
      <c r="D41" s="5" t="inlineStr">
        <is>
          <t>m2</t>
        </is>
      </c>
      <c r="E41" s="25" t="n">
        <v>8</v>
      </c>
      <c r="F41" s="26" t="n">
        <v>10</v>
      </c>
      <c r="G41" s="25">
        <f>E41*(1+F41/100)</f>
        <v/>
      </c>
      <c r="H41" s="8" t="n">
        <v>850000</v>
      </c>
      <c r="I41" s="8">
        <f>G41*H41</f>
        <v/>
      </c>
    </row>
    <row r="42">
      <c r="A42" s="20" t="n">
        <v>35</v>
      </c>
      <c r="B42" s="21" t="inlineStr">
        <is>
          <t>RIDEAUX-CAOCAP</t>
        </is>
      </c>
      <c r="C42" s="21" t="inlineStr">
        <is>
          <t>Rem 2 lop - Tang 1 Phong 10</t>
        </is>
      </c>
      <c r="D42" s="20" t="inlineStr">
        <is>
          <t>m2</t>
        </is>
      </c>
      <c r="E42" s="22" t="n">
        <v>8</v>
      </c>
      <c r="F42" s="23" t="n">
        <v>10</v>
      </c>
      <c r="G42" s="22">
        <f>E42*(1+F42/100)</f>
        <v/>
      </c>
      <c r="H42" s="24" t="n">
        <v>850000</v>
      </c>
      <c r="I42" s="24">
        <f>G42*H42</f>
        <v/>
      </c>
    </row>
    <row r="43">
      <c r="A43" s="5" t="n">
        <v>36</v>
      </c>
      <c r="B43" s="6" t="inlineStr">
        <is>
          <t>RIDEAUX-CAOCAP</t>
        </is>
      </c>
      <c r="C43" s="6" t="inlineStr">
        <is>
          <t>Rem 2 lop - Tang 1 Phong 11</t>
        </is>
      </c>
      <c r="D43" s="5" t="inlineStr">
        <is>
          <t>m2</t>
        </is>
      </c>
      <c r="E43" s="25" t="n">
        <v>8</v>
      </c>
      <c r="F43" s="26" t="n">
        <v>10</v>
      </c>
      <c r="G43" s="25">
        <f>E43*(1+F43/100)</f>
        <v/>
      </c>
      <c r="H43" s="8" t="n">
        <v>850000</v>
      </c>
      <c r="I43" s="8">
        <f>G43*H43</f>
        <v/>
      </c>
    </row>
    <row r="44">
      <c r="A44" s="20" t="n">
        <v>37</v>
      </c>
      <c r="B44" s="21" t="inlineStr">
        <is>
          <t>RIDEAUX-CAOCAP</t>
        </is>
      </c>
      <c r="C44" s="21" t="inlineStr">
        <is>
          <t>Rem 2 lop - Tang 1 Phong 12</t>
        </is>
      </c>
      <c r="D44" s="20" t="inlineStr">
        <is>
          <t>m2</t>
        </is>
      </c>
      <c r="E44" s="22" t="n">
        <v>8</v>
      </c>
      <c r="F44" s="23" t="n">
        <v>10</v>
      </c>
      <c r="G44" s="22">
        <f>E44*(1+F44/100)</f>
        <v/>
      </c>
      <c r="H44" s="24" t="n">
        <v>850000</v>
      </c>
      <c r="I44" s="24">
        <f>G44*H44</f>
        <v/>
      </c>
    </row>
    <row r="45">
      <c r="A45" s="5" t="n">
        <v>38</v>
      </c>
      <c r="B45" s="6" t="inlineStr">
        <is>
          <t>RIDEAUX-CAOCAP</t>
        </is>
      </c>
      <c r="C45" s="6" t="inlineStr">
        <is>
          <t>Rem 2 lop - Tang 1 Phong 13</t>
        </is>
      </c>
      <c r="D45" s="5" t="inlineStr">
        <is>
          <t>m2</t>
        </is>
      </c>
      <c r="E45" s="25" t="n">
        <v>8</v>
      </c>
      <c r="F45" s="26" t="n">
        <v>10</v>
      </c>
      <c r="G45" s="25">
        <f>E45*(1+F45/100)</f>
        <v/>
      </c>
      <c r="H45" s="8" t="n">
        <v>850000</v>
      </c>
      <c r="I45" s="8">
        <f>G45*H45</f>
        <v/>
      </c>
    </row>
    <row r="46">
      <c r="A46" s="20" t="n">
        <v>39</v>
      </c>
      <c r="B46" s="21" t="inlineStr">
        <is>
          <t>RIDEAUX-CAOCAP</t>
        </is>
      </c>
      <c r="C46" s="21" t="inlineStr">
        <is>
          <t>Rem 2 lop - Tang 1 Phong 14</t>
        </is>
      </c>
      <c r="D46" s="20" t="inlineStr">
        <is>
          <t>m2</t>
        </is>
      </c>
      <c r="E46" s="22" t="n">
        <v>8</v>
      </c>
      <c r="F46" s="23" t="n">
        <v>10</v>
      </c>
      <c r="G46" s="22">
        <f>E46*(1+F46/100)</f>
        <v/>
      </c>
      <c r="H46" s="24" t="n">
        <v>850000</v>
      </c>
      <c r="I46" s="24">
        <f>G46*H46</f>
        <v/>
      </c>
    </row>
    <row r="47">
      <c r="A47" s="5" t="n">
        <v>40</v>
      </c>
      <c r="B47" s="6" t="inlineStr">
        <is>
          <t>RIDEAUX-CAOCAP</t>
        </is>
      </c>
      <c r="C47" s="6" t="inlineStr">
        <is>
          <t>Rem 2 lop - Tang 1 Phong 15</t>
        </is>
      </c>
      <c r="D47" s="5" t="inlineStr">
        <is>
          <t>m2</t>
        </is>
      </c>
      <c r="E47" s="25" t="n">
        <v>8</v>
      </c>
      <c r="F47" s="26" t="n">
        <v>10</v>
      </c>
      <c r="G47" s="25">
        <f>E47*(1+F47/100)</f>
        <v/>
      </c>
      <c r="H47" s="8" t="n">
        <v>850000</v>
      </c>
      <c r="I47" s="8">
        <f>G47*H47</f>
        <v/>
      </c>
    </row>
    <row r="48">
      <c r="A48" s="20" t="n">
        <v>41</v>
      </c>
      <c r="B48" s="21" t="inlineStr">
        <is>
          <t>RIDEAUX-CAOCAP</t>
        </is>
      </c>
      <c r="C48" s="21" t="inlineStr">
        <is>
          <t>Rem 2 lop - Tang 1 Phong 16</t>
        </is>
      </c>
      <c r="D48" s="20" t="inlineStr">
        <is>
          <t>m2</t>
        </is>
      </c>
      <c r="E48" s="22" t="n">
        <v>8</v>
      </c>
      <c r="F48" s="23" t="n">
        <v>10</v>
      </c>
      <c r="G48" s="22">
        <f>E48*(1+F48/100)</f>
        <v/>
      </c>
      <c r="H48" s="24" t="n">
        <v>850000</v>
      </c>
      <c r="I48" s="24">
        <f>G48*H48</f>
        <v/>
      </c>
    </row>
    <row r="49">
      <c r="A49" s="5" t="n">
        <v>42</v>
      </c>
      <c r="B49" s="6" t="inlineStr">
        <is>
          <t>RIDEAUX-CAOCAP</t>
        </is>
      </c>
      <c r="C49" s="6" t="inlineStr">
        <is>
          <t>Rem 2 lop - Tang 2 Phong 1</t>
        </is>
      </c>
      <c r="D49" s="5" t="inlineStr">
        <is>
          <t>m2</t>
        </is>
      </c>
      <c r="E49" s="25" t="n">
        <v>8</v>
      </c>
      <c r="F49" s="26" t="n">
        <v>10</v>
      </c>
      <c r="G49" s="25">
        <f>E49*(1+F49/100)</f>
        <v/>
      </c>
      <c r="H49" s="8" t="n">
        <v>850000</v>
      </c>
      <c r="I49" s="8">
        <f>G49*H49</f>
        <v/>
      </c>
    </row>
    <row r="50">
      <c r="A50" s="20" t="n">
        <v>43</v>
      </c>
      <c r="B50" s="21" t="inlineStr">
        <is>
          <t>RIDEAUX-CAOCAP</t>
        </is>
      </c>
      <c r="C50" s="21" t="inlineStr">
        <is>
          <t>Rem 2 lop - Tang 2 Phong 2</t>
        </is>
      </c>
      <c r="D50" s="20" t="inlineStr">
        <is>
          <t>m2</t>
        </is>
      </c>
      <c r="E50" s="22" t="n">
        <v>8</v>
      </c>
      <c r="F50" s="23" t="n">
        <v>10</v>
      </c>
      <c r="G50" s="22">
        <f>E50*(1+F50/100)</f>
        <v/>
      </c>
      <c r="H50" s="24" t="n">
        <v>850000</v>
      </c>
      <c r="I50" s="24">
        <f>G50*H50</f>
        <v/>
      </c>
    </row>
    <row r="51">
      <c r="A51" s="5" t="n">
        <v>44</v>
      </c>
      <c r="B51" s="6" t="inlineStr">
        <is>
          <t>RIDEAUX-CAOCAP</t>
        </is>
      </c>
      <c r="C51" s="6" t="inlineStr">
        <is>
          <t>Rem 2 lop - Tang 2 Phong 3</t>
        </is>
      </c>
      <c r="D51" s="5" t="inlineStr">
        <is>
          <t>m2</t>
        </is>
      </c>
      <c r="E51" s="25" t="n">
        <v>8</v>
      </c>
      <c r="F51" s="26" t="n">
        <v>10</v>
      </c>
      <c r="G51" s="25">
        <f>E51*(1+F51/100)</f>
        <v/>
      </c>
      <c r="H51" s="8" t="n">
        <v>850000</v>
      </c>
      <c r="I51" s="8">
        <f>G51*H51</f>
        <v/>
      </c>
    </row>
    <row r="52">
      <c r="A52" s="20" t="n">
        <v>45</v>
      </c>
      <c r="B52" s="21" t="inlineStr">
        <is>
          <t>RIDEAUX-CAOCAP</t>
        </is>
      </c>
      <c r="C52" s="21" t="inlineStr">
        <is>
          <t>Rem 2 lop - Tang 2 Phong 4</t>
        </is>
      </c>
      <c r="D52" s="20" t="inlineStr">
        <is>
          <t>m2</t>
        </is>
      </c>
      <c r="E52" s="22" t="n">
        <v>8</v>
      </c>
      <c r="F52" s="23" t="n">
        <v>10</v>
      </c>
      <c r="G52" s="22">
        <f>E52*(1+F52/100)</f>
        <v/>
      </c>
      <c r="H52" s="24" t="n">
        <v>850000</v>
      </c>
      <c r="I52" s="24">
        <f>G52*H52</f>
        <v/>
      </c>
    </row>
    <row r="53">
      <c r="A53" s="5" t="n">
        <v>46</v>
      </c>
      <c r="B53" s="6" t="inlineStr">
        <is>
          <t>RIDEAUX-CAOCAP</t>
        </is>
      </c>
      <c r="C53" s="6" t="inlineStr">
        <is>
          <t>Rem 2 lop - Tang 2 Phong 5</t>
        </is>
      </c>
      <c r="D53" s="5" t="inlineStr">
        <is>
          <t>m2</t>
        </is>
      </c>
      <c r="E53" s="25" t="n">
        <v>8</v>
      </c>
      <c r="F53" s="26" t="n">
        <v>10</v>
      </c>
      <c r="G53" s="25">
        <f>E53*(1+F53/100)</f>
        <v/>
      </c>
      <c r="H53" s="8" t="n">
        <v>850000</v>
      </c>
      <c r="I53" s="8">
        <f>G53*H53</f>
        <v/>
      </c>
    </row>
    <row r="54">
      <c r="A54" s="20" t="n">
        <v>47</v>
      </c>
      <c r="B54" s="21" t="inlineStr">
        <is>
          <t>RIDEAUX-CAOCAP</t>
        </is>
      </c>
      <c r="C54" s="21" t="inlineStr">
        <is>
          <t>Rem 2 lop - Tang 2 Phong 6</t>
        </is>
      </c>
      <c r="D54" s="20" t="inlineStr">
        <is>
          <t>m2</t>
        </is>
      </c>
      <c r="E54" s="22" t="n">
        <v>8</v>
      </c>
      <c r="F54" s="23" t="n">
        <v>10</v>
      </c>
      <c r="G54" s="22">
        <f>E54*(1+F54/100)</f>
        <v/>
      </c>
      <c r="H54" s="24" t="n">
        <v>850000</v>
      </c>
      <c r="I54" s="24">
        <f>G54*H54</f>
        <v/>
      </c>
    </row>
    <row r="55">
      <c r="A55" s="5" t="n">
        <v>48</v>
      </c>
      <c r="B55" s="6" t="inlineStr">
        <is>
          <t>RIDEAUX-CAOCAP</t>
        </is>
      </c>
      <c r="C55" s="6" t="inlineStr">
        <is>
          <t>Rem 2 lop - Tang 2 Phong 7</t>
        </is>
      </c>
      <c r="D55" s="5" t="inlineStr">
        <is>
          <t>m2</t>
        </is>
      </c>
      <c r="E55" s="25" t="n">
        <v>8</v>
      </c>
      <c r="F55" s="26" t="n">
        <v>10</v>
      </c>
      <c r="G55" s="25">
        <f>E55*(1+F55/100)</f>
        <v/>
      </c>
      <c r="H55" s="8" t="n">
        <v>850000</v>
      </c>
      <c r="I55" s="8">
        <f>G55*H55</f>
        <v/>
      </c>
    </row>
    <row r="56">
      <c r="A56" s="20" t="n">
        <v>49</v>
      </c>
      <c r="B56" s="21" t="inlineStr">
        <is>
          <t>RIDEAUX-CAOCAP</t>
        </is>
      </c>
      <c r="C56" s="21" t="inlineStr">
        <is>
          <t>Rem 2 lop - Tang 2 Phong 8</t>
        </is>
      </c>
      <c r="D56" s="20" t="inlineStr">
        <is>
          <t>m2</t>
        </is>
      </c>
      <c r="E56" s="22" t="n">
        <v>8</v>
      </c>
      <c r="F56" s="23" t="n">
        <v>10</v>
      </c>
      <c r="G56" s="22">
        <f>E56*(1+F56/100)</f>
        <v/>
      </c>
      <c r="H56" s="24" t="n">
        <v>850000</v>
      </c>
      <c r="I56" s="24">
        <f>G56*H56</f>
        <v/>
      </c>
    </row>
    <row r="57">
      <c r="A57" s="5" t="n">
        <v>50</v>
      </c>
      <c r="B57" s="6" t="inlineStr">
        <is>
          <t>RIDEAUX-CAOCAP</t>
        </is>
      </c>
      <c r="C57" s="6" t="inlineStr">
        <is>
          <t>Rem 2 lop - Tang 2 Phong 9</t>
        </is>
      </c>
      <c r="D57" s="5" t="inlineStr">
        <is>
          <t>m2</t>
        </is>
      </c>
      <c r="E57" s="25" t="n">
        <v>8</v>
      </c>
      <c r="F57" s="26" t="n">
        <v>10</v>
      </c>
      <c r="G57" s="25">
        <f>E57*(1+F57/100)</f>
        <v/>
      </c>
      <c r="H57" s="8" t="n">
        <v>850000</v>
      </c>
      <c r="I57" s="8">
        <f>G57*H57</f>
        <v/>
      </c>
    </row>
    <row r="58">
      <c r="A58" s="20" t="n">
        <v>51</v>
      </c>
      <c r="B58" s="21" t="inlineStr">
        <is>
          <t>RIDEAUX-CAOCAP</t>
        </is>
      </c>
      <c r="C58" s="21" t="inlineStr">
        <is>
          <t>Rem 2 lop - Tang 2 Phong 10</t>
        </is>
      </c>
      <c r="D58" s="20" t="inlineStr">
        <is>
          <t>m2</t>
        </is>
      </c>
      <c r="E58" s="22" t="n">
        <v>8</v>
      </c>
      <c r="F58" s="23" t="n">
        <v>10</v>
      </c>
      <c r="G58" s="22">
        <f>E58*(1+F58/100)</f>
        <v/>
      </c>
      <c r="H58" s="24" t="n">
        <v>850000</v>
      </c>
      <c r="I58" s="24">
        <f>G58*H58</f>
        <v/>
      </c>
    </row>
    <row r="59">
      <c r="A59" s="5" t="n">
        <v>52</v>
      </c>
      <c r="B59" s="6" t="inlineStr">
        <is>
          <t>RIDEAUX-CAOCAP</t>
        </is>
      </c>
      <c r="C59" s="6" t="inlineStr">
        <is>
          <t>Rem 2 lop - Tang 2 Phong 11</t>
        </is>
      </c>
      <c r="D59" s="5" t="inlineStr">
        <is>
          <t>m2</t>
        </is>
      </c>
      <c r="E59" s="25" t="n">
        <v>8</v>
      </c>
      <c r="F59" s="26" t="n">
        <v>10</v>
      </c>
      <c r="G59" s="25">
        <f>E59*(1+F59/100)</f>
        <v/>
      </c>
      <c r="H59" s="8" t="n">
        <v>850000</v>
      </c>
      <c r="I59" s="8">
        <f>G59*H59</f>
        <v/>
      </c>
    </row>
    <row r="60">
      <c r="A60" s="20" t="n">
        <v>53</v>
      </c>
      <c r="B60" s="21" t="inlineStr">
        <is>
          <t>RIDEAUX-CAOCAP</t>
        </is>
      </c>
      <c r="C60" s="21" t="inlineStr">
        <is>
          <t>Rem 2 lop - Tang 2 Phong 12</t>
        </is>
      </c>
      <c r="D60" s="20" t="inlineStr">
        <is>
          <t>m2</t>
        </is>
      </c>
      <c r="E60" s="22" t="n">
        <v>8</v>
      </c>
      <c r="F60" s="23" t="n">
        <v>10</v>
      </c>
      <c r="G60" s="22">
        <f>E60*(1+F60/100)</f>
        <v/>
      </c>
      <c r="H60" s="24" t="n">
        <v>850000</v>
      </c>
      <c r="I60" s="24">
        <f>G60*H60</f>
        <v/>
      </c>
    </row>
    <row r="61">
      <c r="A61" s="5" t="n">
        <v>54</v>
      </c>
      <c r="B61" s="6" t="inlineStr">
        <is>
          <t>RIDEAUX-CAOCAP</t>
        </is>
      </c>
      <c r="C61" s="6" t="inlineStr">
        <is>
          <t>Rem 2 lop - Tang 2 Phong 13</t>
        </is>
      </c>
      <c r="D61" s="5" t="inlineStr">
        <is>
          <t>m2</t>
        </is>
      </c>
      <c r="E61" s="25" t="n">
        <v>8</v>
      </c>
      <c r="F61" s="26" t="n">
        <v>10</v>
      </c>
      <c r="G61" s="25">
        <f>E61*(1+F61/100)</f>
        <v/>
      </c>
      <c r="H61" s="8" t="n">
        <v>850000</v>
      </c>
      <c r="I61" s="8">
        <f>G61*H61</f>
        <v/>
      </c>
    </row>
    <row r="62">
      <c r="A62" s="20" t="n">
        <v>55</v>
      </c>
      <c r="B62" s="21" t="inlineStr">
        <is>
          <t>RIDEAUX-CAOCAP</t>
        </is>
      </c>
      <c r="C62" s="21" t="inlineStr">
        <is>
          <t>Rem 2 lop - Tang 2 Phong 14</t>
        </is>
      </c>
      <c r="D62" s="20" t="inlineStr">
        <is>
          <t>m2</t>
        </is>
      </c>
      <c r="E62" s="22" t="n">
        <v>8</v>
      </c>
      <c r="F62" s="23" t="n">
        <v>10</v>
      </c>
      <c r="G62" s="22">
        <f>E62*(1+F62/100)</f>
        <v/>
      </c>
      <c r="H62" s="24" t="n">
        <v>850000</v>
      </c>
      <c r="I62" s="24">
        <f>G62*H62</f>
        <v/>
      </c>
    </row>
    <row r="63">
      <c r="A63" s="5" t="n">
        <v>56</v>
      </c>
      <c r="B63" s="6" t="inlineStr">
        <is>
          <t>RIDEAUX-CAOCAP</t>
        </is>
      </c>
      <c r="C63" s="6" t="inlineStr">
        <is>
          <t>Rem 2 lop - Tang 2 Phong 15</t>
        </is>
      </c>
      <c r="D63" s="5" t="inlineStr">
        <is>
          <t>m2</t>
        </is>
      </c>
      <c r="E63" s="25" t="n">
        <v>8</v>
      </c>
      <c r="F63" s="26" t="n">
        <v>10</v>
      </c>
      <c r="G63" s="25">
        <f>E63*(1+F63/100)</f>
        <v/>
      </c>
      <c r="H63" s="8" t="n">
        <v>850000</v>
      </c>
      <c r="I63" s="8">
        <f>G63*H63</f>
        <v/>
      </c>
    </row>
    <row r="64">
      <c r="A64" s="20" t="n">
        <v>57</v>
      </c>
      <c r="B64" s="21" t="inlineStr">
        <is>
          <t>RIDEAUX-CAOCAP</t>
        </is>
      </c>
      <c r="C64" s="21" t="inlineStr">
        <is>
          <t>Rem 2 lop - Tang 2 Phong 16</t>
        </is>
      </c>
      <c r="D64" s="20" t="inlineStr">
        <is>
          <t>m2</t>
        </is>
      </c>
      <c r="E64" s="22" t="n">
        <v>8</v>
      </c>
      <c r="F64" s="23" t="n">
        <v>10</v>
      </c>
      <c r="G64" s="22">
        <f>E64*(1+F64/100)</f>
        <v/>
      </c>
      <c r="H64" s="24" t="n">
        <v>850000</v>
      </c>
      <c r="I64" s="24">
        <f>G64*H64</f>
        <v/>
      </c>
    </row>
    <row r="65">
      <c r="A65" s="5" t="n">
        <v>58</v>
      </c>
      <c r="B65" s="6" t="inlineStr">
        <is>
          <t>RIDEAUX-CAOCAP</t>
        </is>
      </c>
      <c r="C65" s="6" t="inlineStr">
        <is>
          <t>Rem 2 lop - Tang 3 Phong 1</t>
        </is>
      </c>
      <c r="D65" s="5" t="inlineStr">
        <is>
          <t>m2</t>
        </is>
      </c>
      <c r="E65" s="25" t="n">
        <v>8</v>
      </c>
      <c r="F65" s="26" t="n">
        <v>10</v>
      </c>
      <c r="G65" s="25">
        <f>E65*(1+F65/100)</f>
        <v/>
      </c>
      <c r="H65" s="8" t="n">
        <v>850000</v>
      </c>
      <c r="I65" s="8">
        <f>G65*H65</f>
        <v/>
      </c>
    </row>
    <row r="66">
      <c r="A66" s="20" t="n">
        <v>59</v>
      </c>
      <c r="B66" s="21" t="inlineStr">
        <is>
          <t>RIDEAUX-CAOCAP</t>
        </is>
      </c>
      <c r="C66" s="21" t="inlineStr">
        <is>
          <t>Rem 2 lop - Tang 3 Phong 2</t>
        </is>
      </c>
      <c r="D66" s="20" t="inlineStr">
        <is>
          <t>m2</t>
        </is>
      </c>
      <c r="E66" s="22" t="n">
        <v>8</v>
      </c>
      <c r="F66" s="23" t="n">
        <v>10</v>
      </c>
      <c r="G66" s="22">
        <f>E66*(1+F66/100)</f>
        <v/>
      </c>
      <c r="H66" s="24" t="n">
        <v>850000</v>
      </c>
      <c r="I66" s="24">
        <f>G66*H66</f>
        <v/>
      </c>
    </row>
    <row r="67">
      <c r="A67" s="5" t="n">
        <v>60</v>
      </c>
      <c r="B67" s="6" t="inlineStr">
        <is>
          <t>RIDEAUX-CAOCAP</t>
        </is>
      </c>
      <c r="C67" s="6" t="inlineStr">
        <is>
          <t>Rem 2 lop - Tang 3 Phong 3</t>
        </is>
      </c>
      <c r="D67" s="5" t="inlineStr">
        <is>
          <t>m2</t>
        </is>
      </c>
      <c r="E67" s="25" t="n">
        <v>8</v>
      </c>
      <c r="F67" s="26" t="n">
        <v>10</v>
      </c>
      <c r="G67" s="25">
        <f>E67*(1+F67/100)</f>
        <v/>
      </c>
      <c r="H67" s="8" t="n">
        <v>850000</v>
      </c>
      <c r="I67" s="8">
        <f>G67*H67</f>
        <v/>
      </c>
    </row>
    <row r="68">
      <c r="A68" s="20" t="n">
        <v>61</v>
      </c>
      <c r="B68" s="21" t="inlineStr">
        <is>
          <t>RIDEAUX-CAOCAP</t>
        </is>
      </c>
      <c r="C68" s="21" t="inlineStr">
        <is>
          <t>Rem 2 lop - Tang 3 Phong 4</t>
        </is>
      </c>
      <c r="D68" s="20" t="inlineStr">
        <is>
          <t>m2</t>
        </is>
      </c>
      <c r="E68" s="22" t="n">
        <v>8</v>
      </c>
      <c r="F68" s="23" t="n">
        <v>10</v>
      </c>
      <c r="G68" s="22">
        <f>E68*(1+F68/100)</f>
        <v/>
      </c>
      <c r="H68" s="24" t="n">
        <v>850000</v>
      </c>
      <c r="I68" s="24">
        <f>G68*H68</f>
        <v/>
      </c>
    </row>
    <row r="69">
      <c r="A69" s="5" t="n">
        <v>62</v>
      </c>
      <c r="B69" s="6" t="inlineStr">
        <is>
          <t>RIDEAUX-CAOCAP</t>
        </is>
      </c>
      <c r="C69" s="6" t="inlineStr">
        <is>
          <t>Rem 2 lop - Tang 3 Phong 5</t>
        </is>
      </c>
      <c r="D69" s="5" t="inlineStr">
        <is>
          <t>m2</t>
        </is>
      </c>
      <c r="E69" s="25" t="n">
        <v>8</v>
      </c>
      <c r="F69" s="26" t="n">
        <v>10</v>
      </c>
      <c r="G69" s="25">
        <f>E69*(1+F69/100)</f>
        <v/>
      </c>
      <c r="H69" s="8" t="n">
        <v>850000</v>
      </c>
      <c r="I69" s="8">
        <f>G69*H69</f>
        <v/>
      </c>
    </row>
    <row r="70">
      <c r="A70" s="20" t="n">
        <v>63</v>
      </c>
      <c r="B70" s="21" t="inlineStr">
        <is>
          <t>RIDEAUX-CAOCAP</t>
        </is>
      </c>
      <c r="C70" s="21" t="inlineStr">
        <is>
          <t>Rem 2 lop - Tang 3 Phong 6</t>
        </is>
      </c>
      <c r="D70" s="20" t="inlineStr">
        <is>
          <t>m2</t>
        </is>
      </c>
      <c r="E70" s="22" t="n">
        <v>8</v>
      </c>
      <c r="F70" s="23" t="n">
        <v>10</v>
      </c>
      <c r="G70" s="22">
        <f>E70*(1+F70/100)</f>
        <v/>
      </c>
      <c r="H70" s="24" t="n">
        <v>850000</v>
      </c>
      <c r="I70" s="24">
        <f>G70*H70</f>
        <v/>
      </c>
    </row>
    <row r="71">
      <c r="A71" s="5" t="n">
        <v>64</v>
      </c>
      <c r="B71" s="6" t="inlineStr">
        <is>
          <t>RIDEAUX-CAOCAP</t>
        </is>
      </c>
      <c r="C71" s="6" t="inlineStr">
        <is>
          <t>Rem 2 lop - Tang 3 Phong 7</t>
        </is>
      </c>
      <c r="D71" s="5" t="inlineStr">
        <is>
          <t>m2</t>
        </is>
      </c>
      <c r="E71" s="25" t="n">
        <v>8</v>
      </c>
      <c r="F71" s="26" t="n">
        <v>10</v>
      </c>
      <c r="G71" s="25">
        <f>E71*(1+F71/100)</f>
        <v/>
      </c>
      <c r="H71" s="8" t="n">
        <v>850000</v>
      </c>
      <c r="I71" s="8">
        <f>G71*H71</f>
        <v/>
      </c>
    </row>
    <row r="72">
      <c r="A72" s="20" t="n">
        <v>65</v>
      </c>
      <c r="B72" s="21" t="inlineStr">
        <is>
          <t>RIDEAUX-CAOCAP</t>
        </is>
      </c>
      <c r="C72" s="21" t="inlineStr">
        <is>
          <t>Rem 2 lop - Tang 3 Phong 8</t>
        </is>
      </c>
      <c r="D72" s="20" t="inlineStr">
        <is>
          <t>m2</t>
        </is>
      </c>
      <c r="E72" s="22" t="n">
        <v>8</v>
      </c>
      <c r="F72" s="23" t="n">
        <v>10</v>
      </c>
      <c r="G72" s="22">
        <f>E72*(1+F72/100)</f>
        <v/>
      </c>
      <c r="H72" s="24" t="n">
        <v>850000</v>
      </c>
      <c r="I72" s="24">
        <f>G72*H72</f>
        <v/>
      </c>
    </row>
    <row r="73">
      <c r="A73" s="5" t="n">
        <v>66</v>
      </c>
      <c r="B73" s="6" t="inlineStr">
        <is>
          <t>RIDEAUX-CAOCAP</t>
        </is>
      </c>
      <c r="C73" s="6" t="inlineStr">
        <is>
          <t>Rem 2 lop - Tang 3 Phong 9</t>
        </is>
      </c>
      <c r="D73" s="5" t="inlineStr">
        <is>
          <t>m2</t>
        </is>
      </c>
      <c r="E73" s="25" t="n">
        <v>8</v>
      </c>
      <c r="F73" s="26" t="n">
        <v>10</v>
      </c>
      <c r="G73" s="25">
        <f>E73*(1+F73/100)</f>
        <v/>
      </c>
      <c r="H73" s="8" t="n">
        <v>850000</v>
      </c>
      <c r="I73" s="8">
        <f>G73*H73</f>
        <v/>
      </c>
    </row>
    <row r="74">
      <c r="A74" s="20" t="n">
        <v>67</v>
      </c>
      <c r="B74" s="21" t="inlineStr">
        <is>
          <t>RIDEAUX-CAOCAP</t>
        </is>
      </c>
      <c r="C74" s="21" t="inlineStr">
        <is>
          <t>Rem 2 lop - Tang 3 Phong 10</t>
        </is>
      </c>
      <c r="D74" s="20" t="inlineStr">
        <is>
          <t>m2</t>
        </is>
      </c>
      <c r="E74" s="22" t="n">
        <v>8</v>
      </c>
      <c r="F74" s="23" t="n">
        <v>10</v>
      </c>
      <c r="G74" s="22">
        <f>E74*(1+F74/100)</f>
        <v/>
      </c>
      <c r="H74" s="24" t="n">
        <v>850000</v>
      </c>
      <c r="I74" s="24">
        <f>G74*H74</f>
        <v/>
      </c>
    </row>
    <row r="75">
      <c r="A75" s="5" t="n">
        <v>68</v>
      </c>
      <c r="B75" s="6" t="inlineStr">
        <is>
          <t>RIDEAUX-CAOCAP</t>
        </is>
      </c>
      <c r="C75" s="6" t="inlineStr">
        <is>
          <t>Rem 2 lop - Tang 3 Phong 11</t>
        </is>
      </c>
      <c r="D75" s="5" t="inlineStr">
        <is>
          <t>m2</t>
        </is>
      </c>
      <c r="E75" s="25" t="n">
        <v>8</v>
      </c>
      <c r="F75" s="26" t="n">
        <v>10</v>
      </c>
      <c r="G75" s="25">
        <f>E75*(1+F75/100)</f>
        <v/>
      </c>
      <c r="H75" s="8" t="n">
        <v>850000</v>
      </c>
      <c r="I75" s="8">
        <f>G75*H75</f>
        <v/>
      </c>
    </row>
    <row r="76">
      <c r="A76" s="20" t="n">
        <v>69</v>
      </c>
      <c r="B76" s="21" t="inlineStr">
        <is>
          <t>RIDEAUX-CAOCAP</t>
        </is>
      </c>
      <c r="C76" s="21" t="inlineStr">
        <is>
          <t>Rem 2 lop - Tang 3 Phong 12</t>
        </is>
      </c>
      <c r="D76" s="20" t="inlineStr">
        <is>
          <t>m2</t>
        </is>
      </c>
      <c r="E76" s="22" t="n">
        <v>8</v>
      </c>
      <c r="F76" s="23" t="n">
        <v>10</v>
      </c>
      <c r="G76" s="22">
        <f>E76*(1+F76/100)</f>
        <v/>
      </c>
      <c r="H76" s="24" t="n">
        <v>850000</v>
      </c>
      <c r="I76" s="24">
        <f>G76*H76</f>
        <v/>
      </c>
    </row>
    <row r="77">
      <c r="A77" s="5" t="n">
        <v>70</v>
      </c>
      <c r="B77" s="6" t="inlineStr">
        <is>
          <t>RIDEAUX-CAOCAP</t>
        </is>
      </c>
      <c r="C77" s="6" t="inlineStr">
        <is>
          <t>Rem 2 lop - Tang 3 Phong 13</t>
        </is>
      </c>
      <c r="D77" s="5" t="inlineStr">
        <is>
          <t>m2</t>
        </is>
      </c>
      <c r="E77" s="25" t="n">
        <v>8</v>
      </c>
      <c r="F77" s="26" t="n">
        <v>10</v>
      </c>
      <c r="G77" s="25">
        <f>E77*(1+F77/100)</f>
        <v/>
      </c>
      <c r="H77" s="8" t="n">
        <v>850000</v>
      </c>
      <c r="I77" s="8">
        <f>G77*H77</f>
        <v/>
      </c>
    </row>
    <row r="78">
      <c r="A78" s="20" t="n">
        <v>71</v>
      </c>
      <c r="B78" s="21" t="inlineStr">
        <is>
          <t>RIDEAUX-CAOCAP</t>
        </is>
      </c>
      <c r="C78" s="21" t="inlineStr">
        <is>
          <t>Rem 2 lop - Tang 3 Phong 14</t>
        </is>
      </c>
      <c r="D78" s="20" t="inlineStr">
        <is>
          <t>m2</t>
        </is>
      </c>
      <c r="E78" s="22" t="n">
        <v>8</v>
      </c>
      <c r="F78" s="23" t="n">
        <v>10</v>
      </c>
      <c r="G78" s="22">
        <f>E78*(1+F78/100)</f>
        <v/>
      </c>
      <c r="H78" s="24" t="n">
        <v>850000</v>
      </c>
      <c r="I78" s="24">
        <f>G78*H78</f>
        <v/>
      </c>
    </row>
    <row r="79">
      <c r="A79" s="5" t="n">
        <v>72</v>
      </c>
      <c r="B79" s="6" t="inlineStr">
        <is>
          <t>RIDEAUX-CAOCAP</t>
        </is>
      </c>
      <c r="C79" s="6" t="inlineStr">
        <is>
          <t>Rem 2 lop - Tang 3 Phong 15</t>
        </is>
      </c>
      <c r="D79" s="5" t="inlineStr">
        <is>
          <t>m2</t>
        </is>
      </c>
      <c r="E79" s="25" t="n">
        <v>8</v>
      </c>
      <c r="F79" s="26" t="n">
        <v>10</v>
      </c>
      <c r="G79" s="25">
        <f>E79*(1+F79/100)</f>
        <v/>
      </c>
      <c r="H79" s="8" t="n">
        <v>850000</v>
      </c>
      <c r="I79" s="8">
        <f>G79*H79</f>
        <v/>
      </c>
    </row>
    <row r="80">
      <c r="A80" s="20" t="n">
        <v>73</v>
      </c>
      <c r="B80" s="21" t="inlineStr">
        <is>
          <t>RIDEAUX-CAOCAP</t>
        </is>
      </c>
      <c r="C80" s="21" t="inlineStr">
        <is>
          <t>Rem 2 lop - Tang 3 Phong 16</t>
        </is>
      </c>
      <c r="D80" s="20" t="inlineStr">
        <is>
          <t>m2</t>
        </is>
      </c>
      <c r="E80" s="22" t="n">
        <v>8</v>
      </c>
      <c r="F80" s="23" t="n">
        <v>10</v>
      </c>
      <c r="G80" s="22">
        <f>E80*(1+F80/100)</f>
        <v/>
      </c>
      <c r="H80" s="24" t="n">
        <v>850000</v>
      </c>
      <c r="I80" s="24">
        <f>G80*H80</f>
        <v/>
      </c>
    </row>
    <row r="81">
      <c r="A81" s="15" t="inlineStr">
        <is>
          <t>CONG NOI THAT</t>
        </is>
      </c>
      <c r="B81" s="11" t="n"/>
      <c r="C81" s="11" t="n"/>
      <c r="D81" s="11" t="n"/>
      <c r="E81" s="11" t="n"/>
      <c r="F81" s="11" t="n"/>
      <c r="G81" s="11" t="n"/>
      <c r="H81" s="11" t="n"/>
      <c r="I81" s="16">
        <f>SUM(I8:I80)</f>
        <v/>
      </c>
    </row>
  </sheetData>
  <mergeCells count="5">
    <mergeCell ref="A2:I2"/>
    <mergeCell ref="A5:I5"/>
    <mergeCell ref="A81:H81"/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2026-05-03T11:50:45Z</dcterms:created>
  <dcterms:modified xsi:type="dcterms:W3CDTF">2026-05-03T11:50:45Z</dcterms:modified>
</cp:coreProperties>
</file>